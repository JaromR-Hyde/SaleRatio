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yde\Documents\2025_Sales_Ratio_Exports\Override fac\"/>
    </mc:Choice>
  </mc:AlternateContent>
  <xr:revisionPtr revIDLastSave="0" documentId="13_ncr:1_{B558B76A-41E4-49E7-9D8B-4F148708AB63}" xr6:coauthVersionLast="36" xr6:coauthVersionMax="36" xr10:uidLastSave="{00000000-0000-0000-0000-000000000000}"/>
  <bookViews>
    <workbookView xWindow="0" yWindow="0" windowWidth="29010" windowHeight="12195" activeTab="1" xr2:uid="{9F628BFB-AF2D-4349-AEFA-65955013D268}"/>
  </bookViews>
  <sheets>
    <sheet name="S TO O FAC" sheetId="2" r:id="rId1"/>
    <sheet name="VALUE RANGE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1" i="3" l="1"/>
  <c r="Y12" i="3"/>
  <c r="Y13" i="3"/>
  <c r="Y14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Y10" i="3" s="1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2" i="3"/>
  <c r="X13" i="3"/>
  <c r="X14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2" i="3"/>
  <c r="X6" i="3"/>
  <c r="X7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135" i="2"/>
  <c r="H135" i="2"/>
  <c r="R135" i="2" s="1"/>
  <c r="P134" i="2"/>
  <c r="H134" i="2"/>
  <c r="R134" i="2" s="1"/>
  <c r="P133" i="2"/>
  <c r="H133" i="2"/>
  <c r="R133" i="2" s="1"/>
  <c r="R132" i="2"/>
  <c r="P132" i="2"/>
  <c r="H132" i="2"/>
  <c r="P131" i="2"/>
  <c r="H131" i="2"/>
  <c r="R131" i="2" s="1"/>
  <c r="P130" i="2"/>
  <c r="H130" i="2"/>
  <c r="R130" i="2" s="1"/>
  <c r="P129" i="2"/>
  <c r="H129" i="2"/>
  <c r="R129" i="2" s="1"/>
  <c r="P128" i="2"/>
  <c r="H128" i="2"/>
  <c r="R128" i="2" s="1"/>
  <c r="P127" i="2"/>
  <c r="H127" i="2"/>
  <c r="R127" i="2" s="1"/>
  <c r="R126" i="2"/>
  <c r="P126" i="2"/>
  <c r="H126" i="2"/>
  <c r="P125" i="2"/>
  <c r="H125" i="2"/>
  <c r="R125" i="2" s="1"/>
  <c r="P124" i="2"/>
  <c r="H124" i="2"/>
  <c r="R124" i="2" s="1"/>
  <c r="P123" i="2"/>
  <c r="H123" i="2"/>
  <c r="R123" i="2" s="1"/>
  <c r="P122" i="2"/>
  <c r="H122" i="2"/>
  <c r="R122" i="2" s="1"/>
  <c r="P121" i="2"/>
  <c r="H121" i="2"/>
  <c r="R121" i="2" s="1"/>
  <c r="R120" i="2"/>
  <c r="P120" i="2"/>
  <c r="H120" i="2"/>
  <c r="P119" i="2"/>
  <c r="H119" i="2"/>
  <c r="R119" i="2" s="1"/>
  <c r="P118" i="2"/>
  <c r="H118" i="2"/>
  <c r="R118" i="2" s="1"/>
  <c r="P117" i="2"/>
  <c r="H117" i="2"/>
  <c r="R117" i="2" s="1"/>
  <c r="P116" i="2"/>
  <c r="H116" i="2"/>
  <c r="R116" i="2" s="1"/>
  <c r="P115" i="2"/>
  <c r="H115" i="2"/>
  <c r="R115" i="2" s="1"/>
  <c r="R114" i="2"/>
  <c r="P114" i="2"/>
  <c r="H114" i="2"/>
  <c r="P113" i="2"/>
  <c r="H113" i="2"/>
  <c r="R113" i="2" s="1"/>
  <c r="P112" i="2"/>
  <c r="H112" i="2"/>
  <c r="R112" i="2" s="1"/>
  <c r="P111" i="2"/>
  <c r="H111" i="2"/>
  <c r="R111" i="2" s="1"/>
  <c r="P110" i="2"/>
  <c r="H110" i="2"/>
  <c r="R110" i="2" s="1"/>
  <c r="P109" i="2"/>
  <c r="H109" i="2"/>
  <c r="R109" i="2" s="1"/>
  <c r="P108" i="2"/>
  <c r="H108" i="2"/>
  <c r="R108" i="2" s="1"/>
  <c r="P107" i="2"/>
  <c r="H107" i="2"/>
  <c r="R107" i="2" s="1"/>
  <c r="P106" i="2"/>
  <c r="H106" i="2"/>
  <c r="R106" i="2" s="1"/>
  <c r="P105" i="2"/>
  <c r="H105" i="2"/>
  <c r="R105" i="2" s="1"/>
  <c r="P104" i="2"/>
  <c r="H104" i="2"/>
  <c r="R104" i="2" s="1"/>
  <c r="P103" i="2"/>
  <c r="H103" i="2"/>
  <c r="R103" i="2" s="1"/>
  <c r="P102" i="2"/>
  <c r="H102" i="2"/>
  <c r="R102" i="2" s="1"/>
  <c r="P101" i="2"/>
  <c r="H101" i="2"/>
  <c r="R101" i="2" s="1"/>
  <c r="P100" i="2"/>
  <c r="H100" i="2"/>
  <c r="R100" i="2" s="1"/>
  <c r="P99" i="2"/>
  <c r="H99" i="2"/>
  <c r="R99" i="2" s="1"/>
  <c r="P98" i="2"/>
  <c r="H98" i="2"/>
  <c r="R98" i="2" s="1"/>
  <c r="P97" i="2"/>
  <c r="H97" i="2"/>
  <c r="R97" i="2" s="1"/>
  <c r="P96" i="2"/>
  <c r="H96" i="2"/>
  <c r="R96" i="2" s="1"/>
  <c r="P95" i="2"/>
  <c r="H95" i="2"/>
  <c r="R95" i="2" s="1"/>
  <c r="P94" i="2"/>
  <c r="H94" i="2"/>
  <c r="R94" i="2" s="1"/>
  <c r="P93" i="2"/>
  <c r="H93" i="2"/>
  <c r="R93" i="2" s="1"/>
  <c r="P92" i="2"/>
  <c r="H92" i="2"/>
  <c r="R92" i="2" s="1"/>
  <c r="P91" i="2"/>
  <c r="H91" i="2"/>
  <c r="R91" i="2" s="1"/>
  <c r="P90" i="2"/>
  <c r="H90" i="2"/>
  <c r="R90" i="2" s="1"/>
  <c r="P89" i="2"/>
  <c r="H89" i="2"/>
  <c r="R89" i="2" s="1"/>
  <c r="P88" i="2"/>
  <c r="H88" i="2"/>
  <c r="R88" i="2" s="1"/>
  <c r="P87" i="2"/>
  <c r="H87" i="2"/>
  <c r="R87" i="2" s="1"/>
  <c r="P86" i="2"/>
  <c r="H86" i="2"/>
  <c r="R86" i="2" s="1"/>
  <c r="P85" i="2"/>
  <c r="H85" i="2"/>
  <c r="R85" i="2" s="1"/>
  <c r="P84" i="2"/>
  <c r="H84" i="2"/>
  <c r="R84" i="2" s="1"/>
  <c r="P83" i="2"/>
  <c r="H83" i="2"/>
  <c r="R83" i="2" s="1"/>
  <c r="P82" i="2"/>
  <c r="H82" i="2"/>
  <c r="R82" i="2" s="1"/>
  <c r="P81" i="2"/>
  <c r="H81" i="2"/>
  <c r="R81" i="2" s="1"/>
  <c r="P80" i="2"/>
  <c r="H80" i="2"/>
  <c r="R80" i="2" s="1"/>
  <c r="P79" i="2"/>
  <c r="H79" i="2"/>
  <c r="R79" i="2" s="1"/>
  <c r="P78" i="2"/>
  <c r="H78" i="2"/>
  <c r="R78" i="2" s="1"/>
  <c r="P77" i="2"/>
  <c r="H77" i="2"/>
  <c r="R77" i="2" s="1"/>
  <c r="P76" i="2"/>
  <c r="H76" i="2"/>
  <c r="R76" i="2" s="1"/>
  <c r="P75" i="2"/>
  <c r="H75" i="2"/>
  <c r="R75" i="2" s="1"/>
  <c r="P74" i="2"/>
  <c r="H74" i="2"/>
  <c r="R74" i="2" s="1"/>
  <c r="P73" i="2"/>
  <c r="H73" i="2"/>
  <c r="R73" i="2" s="1"/>
  <c r="P72" i="2"/>
  <c r="H72" i="2"/>
  <c r="R72" i="2" s="1"/>
  <c r="P71" i="2"/>
  <c r="H71" i="2"/>
  <c r="R71" i="2" s="1"/>
  <c r="P70" i="2"/>
  <c r="H70" i="2"/>
  <c r="R70" i="2" s="1"/>
  <c r="P69" i="2"/>
  <c r="H69" i="2"/>
  <c r="R69" i="2" s="1"/>
  <c r="P68" i="2"/>
  <c r="H68" i="2"/>
  <c r="R68" i="2" s="1"/>
  <c r="P67" i="2"/>
  <c r="H67" i="2"/>
  <c r="R67" i="2" s="1"/>
  <c r="P66" i="2"/>
  <c r="H66" i="2"/>
  <c r="R66" i="2" s="1"/>
  <c r="P65" i="2"/>
  <c r="H65" i="2"/>
  <c r="R65" i="2" s="1"/>
  <c r="P64" i="2"/>
  <c r="H64" i="2"/>
  <c r="R64" i="2" s="1"/>
  <c r="P63" i="2"/>
  <c r="H63" i="2"/>
  <c r="R63" i="2" s="1"/>
  <c r="P62" i="2"/>
  <c r="H62" i="2"/>
  <c r="R62" i="2" s="1"/>
  <c r="P61" i="2"/>
  <c r="H61" i="2"/>
  <c r="R61" i="2" s="1"/>
  <c r="P60" i="2"/>
  <c r="H60" i="2"/>
  <c r="R60" i="2" s="1"/>
  <c r="P59" i="2"/>
  <c r="H59" i="2"/>
  <c r="R59" i="2" s="1"/>
  <c r="P58" i="2"/>
  <c r="H58" i="2"/>
  <c r="R58" i="2" s="1"/>
  <c r="P57" i="2"/>
  <c r="H57" i="2"/>
  <c r="R57" i="2" s="1"/>
  <c r="P56" i="2"/>
  <c r="H56" i="2"/>
  <c r="R56" i="2" s="1"/>
  <c r="P55" i="2"/>
  <c r="H55" i="2"/>
  <c r="R55" i="2" s="1"/>
  <c r="P54" i="2"/>
  <c r="H54" i="2"/>
  <c r="R54" i="2" s="1"/>
  <c r="P53" i="2"/>
  <c r="H53" i="2"/>
  <c r="R53" i="2" s="1"/>
  <c r="P52" i="2"/>
  <c r="H52" i="2"/>
  <c r="R52" i="2" s="1"/>
  <c r="P51" i="2"/>
  <c r="H51" i="2"/>
  <c r="R51" i="2" s="1"/>
  <c r="P50" i="2"/>
  <c r="H50" i="2"/>
  <c r="R50" i="2" s="1"/>
  <c r="P49" i="2"/>
  <c r="H49" i="2"/>
  <c r="R49" i="2" s="1"/>
  <c r="P48" i="2"/>
  <c r="H48" i="2"/>
  <c r="R48" i="2" s="1"/>
  <c r="P47" i="2"/>
  <c r="H47" i="2"/>
  <c r="R47" i="2" s="1"/>
  <c r="P46" i="2"/>
  <c r="H46" i="2"/>
  <c r="R46" i="2" s="1"/>
  <c r="P45" i="2"/>
  <c r="H45" i="2"/>
  <c r="R45" i="2" s="1"/>
  <c r="P44" i="2"/>
  <c r="H44" i="2"/>
  <c r="R44" i="2" s="1"/>
  <c r="P43" i="2"/>
  <c r="H43" i="2"/>
  <c r="R43" i="2" s="1"/>
  <c r="P42" i="2"/>
  <c r="H42" i="2"/>
  <c r="R42" i="2" s="1"/>
  <c r="P41" i="2"/>
  <c r="H41" i="2"/>
  <c r="R41" i="2" s="1"/>
  <c r="P40" i="2"/>
  <c r="H40" i="2"/>
  <c r="R40" i="2" s="1"/>
  <c r="P39" i="2"/>
  <c r="H39" i="2"/>
  <c r="R39" i="2" s="1"/>
  <c r="P38" i="2"/>
  <c r="H38" i="2"/>
  <c r="R38" i="2" s="1"/>
  <c r="P37" i="2"/>
  <c r="H37" i="2"/>
  <c r="R37" i="2" s="1"/>
  <c r="P36" i="2"/>
  <c r="H36" i="2"/>
  <c r="R36" i="2" s="1"/>
  <c r="P35" i="2"/>
  <c r="H35" i="2"/>
  <c r="R35" i="2" s="1"/>
  <c r="P34" i="2"/>
  <c r="H34" i="2"/>
  <c r="R34" i="2" s="1"/>
  <c r="P33" i="2"/>
  <c r="H33" i="2"/>
  <c r="R33" i="2" s="1"/>
  <c r="P32" i="2"/>
  <c r="H32" i="2"/>
  <c r="R32" i="2" s="1"/>
  <c r="P31" i="2"/>
  <c r="H31" i="2"/>
  <c r="R31" i="2" s="1"/>
  <c r="P30" i="2"/>
  <c r="H30" i="2"/>
  <c r="R30" i="2" s="1"/>
  <c r="P29" i="2"/>
  <c r="H29" i="2"/>
  <c r="R29" i="2" s="1"/>
  <c r="X28" i="2"/>
  <c r="R28" i="2"/>
  <c r="P28" i="2"/>
  <c r="H28" i="2"/>
  <c r="AC27" i="2"/>
  <c r="AB27" i="2"/>
  <c r="X27" i="2"/>
  <c r="R27" i="2"/>
  <c r="P27" i="2"/>
  <c r="H27" i="2"/>
  <c r="AC26" i="2"/>
  <c r="X26" i="2"/>
  <c r="R26" i="2"/>
  <c r="P26" i="2"/>
  <c r="H26" i="2"/>
  <c r="AC25" i="2"/>
  <c r="X25" i="2"/>
  <c r="R25" i="2"/>
  <c r="P25" i="2"/>
  <c r="H25" i="2"/>
  <c r="AC24" i="2"/>
  <c r="X24" i="2"/>
  <c r="R24" i="2"/>
  <c r="P24" i="2"/>
  <c r="H24" i="2"/>
  <c r="AC23" i="2"/>
  <c r="X23" i="2"/>
  <c r="W23" i="2"/>
  <c r="R23" i="2"/>
  <c r="P23" i="2"/>
  <c r="H23" i="2"/>
  <c r="R22" i="2"/>
  <c r="P22" i="2"/>
  <c r="H22" i="2"/>
  <c r="R21" i="2"/>
  <c r="P21" i="2"/>
  <c r="H21" i="2"/>
  <c r="P20" i="2"/>
  <c r="H20" i="2"/>
  <c r="R20" i="2" s="1"/>
  <c r="P19" i="2"/>
  <c r="H19" i="2"/>
  <c r="R19" i="2" s="1"/>
  <c r="R18" i="2"/>
  <c r="P18" i="2"/>
  <c r="H18" i="2"/>
  <c r="P17" i="2"/>
  <c r="H17" i="2"/>
  <c r="R17" i="2" s="1"/>
  <c r="P16" i="2"/>
  <c r="H16" i="2"/>
  <c r="R16" i="2" s="1"/>
  <c r="P15" i="2"/>
  <c r="H15" i="2"/>
  <c r="R15" i="2" s="1"/>
  <c r="R14" i="2"/>
  <c r="P14" i="2"/>
  <c r="H14" i="2"/>
  <c r="R13" i="2"/>
  <c r="P13" i="2"/>
  <c r="H13" i="2"/>
  <c r="R12" i="2"/>
  <c r="P12" i="2"/>
  <c r="H12" i="2"/>
  <c r="U11" i="2"/>
  <c r="P11" i="2"/>
  <c r="H11" i="2"/>
  <c r="R11" i="2" s="1"/>
  <c r="P10" i="2"/>
  <c r="H10" i="2"/>
  <c r="R10" i="2" s="1"/>
  <c r="P9" i="2"/>
  <c r="H9" i="2"/>
  <c r="R9" i="2" s="1"/>
  <c r="P8" i="2"/>
  <c r="H8" i="2"/>
  <c r="R8" i="2" s="1"/>
  <c r="P7" i="2"/>
  <c r="H7" i="2"/>
  <c r="R7" i="2" s="1"/>
  <c r="P6" i="2"/>
  <c r="H6" i="2"/>
  <c r="R6" i="2" s="1"/>
  <c r="P5" i="2"/>
  <c r="H5" i="2"/>
  <c r="R5" i="2" s="1"/>
  <c r="P4" i="2"/>
  <c r="H4" i="2"/>
  <c r="R4" i="2" s="1"/>
  <c r="P3" i="2"/>
  <c r="H3" i="2"/>
  <c r="R3" i="2" s="1"/>
  <c r="P2" i="2"/>
  <c r="U10" i="2" s="1"/>
  <c r="H2" i="2"/>
  <c r="R2" i="2" s="1"/>
  <c r="X18" i="3" l="1"/>
  <c r="X17" i="3"/>
  <c r="X24" i="3"/>
  <c r="X28" i="3"/>
  <c r="X27" i="3"/>
  <c r="X26" i="3"/>
  <c r="X25" i="3"/>
  <c r="X21" i="3"/>
  <c r="X20" i="3"/>
  <c r="X11" i="3"/>
  <c r="X12" i="3"/>
  <c r="X19" i="3"/>
  <c r="X10" i="3"/>
  <c r="X4" i="3"/>
  <c r="X3" i="3"/>
  <c r="X5" i="3"/>
  <c r="AB19" i="2"/>
  <c r="W28" i="2"/>
  <c r="AB23" i="2"/>
  <c r="AB17" i="2"/>
  <c r="W16" i="2"/>
  <c r="W14" i="2"/>
  <c r="AB24" i="2"/>
  <c r="W18" i="2"/>
  <c r="AB14" i="2"/>
  <c r="V9" i="2"/>
  <c r="V10" i="2"/>
  <c r="AG132" i="2" s="1"/>
  <c r="W26" i="2"/>
  <c r="AB25" i="2"/>
  <c r="W24" i="2"/>
  <c r="AB18" i="2"/>
  <c r="AB16" i="2"/>
  <c r="W19" i="2"/>
  <c r="W15" i="2"/>
  <c r="W25" i="2"/>
  <c r="AB15" i="2"/>
  <c r="AB26" i="2"/>
  <c r="W17" i="2"/>
  <c r="U9" i="2"/>
  <c r="W27" i="2"/>
  <c r="AG33" i="2" l="1"/>
  <c r="AG118" i="2"/>
  <c r="AG38" i="2"/>
  <c r="AG135" i="2"/>
  <c r="AG10" i="2"/>
  <c r="AG25" i="2"/>
  <c r="AG127" i="2"/>
  <c r="AG64" i="2"/>
  <c r="AG101" i="2"/>
  <c r="AG3" i="2"/>
  <c r="AG11" i="2"/>
  <c r="AG28" i="2"/>
  <c r="AG116" i="2"/>
  <c r="AG16" i="2"/>
  <c r="AG96" i="2"/>
  <c r="AG133" i="2"/>
  <c r="AG125" i="2"/>
  <c r="AG126" i="2"/>
  <c r="AG36" i="2"/>
  <c r="AG94" i="2"/>
  <c r="AG111" i="2"/>
  <c r="AG108" i="2"/>
  <c r="AG58" i="2"/>
  <c r="AG104" i="2"/>
  <c r="AG99" i="2"/>
  <c r="AG48" i="2"/>
  <c r="AG102" i="2"/>
  <c r="AG92" i="2"/>
  <c r="AG75" i="2"/>
  <c r="AG59" i="2"/>
  <c r="AG130" i="2"/>
  <c r="AG80" i="2"/>
  <c r="AG79" i="2"/>
  <c r="AG87" i="2"/>
  <c r="AG131" i="2"/>
  <c r="AG61" i="2"/>
  <c r="AG128" i="2"/>
  <c r="AG114" i="2"/>
  <c r="AG14" i="2"/>
  <c r="AG82" i="2"/>
  <c r="AG41" i="2"/>
  <c r="AG15" i="2"/>
  <c r="AG71" i="2"/>
  <c r="AG9" i="2"/>
  <c r="AG54" i="2"/>
  <c r="AG85" i="2"/>
  <c r="AG21" i="2"/>
  <c r="AG20" i="2"/>
  <c r="AG91" i="2"/>
  <c r="AG23" i="2"/>
  <c r="AG5" i="2"/>
  <c r="AG122" i="2"/>
  <c r="AG49" i="2"/>
  <c r="AG78" i="2"/>
  <c r="AG7" i="2"/>
  <c r="AG31" i="2"/>
  <c r="AG72" i="2"/>
  <c r="AG103" i="2"/>
  <c r="AG24" i="2"/>
  <c r="AG107" i="2"/>
  <c r="AG51" i="2"/>
  <c r="AG56" i="2"/>
  <c r="AG124" i="2"/>
  <c r="AG35" i="2"/>
  <c r="AG4" i="2"/>
  <c r="AG42" i="2"/>
  <c r="AG95" i="2"/>
  <c r="AG45" i="2"/>
  <c r="AG67" i="2"/>
  <c r="AG55" i="2"/>
  <c r="AG12" i="2"/>
  <c r="AG63" i="2"/>
  <c r="AG84" i="2"/>
  <c r="AG117" i="2"/>
  <c r="AG113" i="2"/>
  <c r="AG34" i="2"/>
  <c r="AG121" i="2"/>
  <c r="AG120" i="2"/>
  <c r="AG47" i="2"/>
  <c r="AG89" i="2"/>
  <c r="AG44" i="2"/>
  <c r="AG110" i="2"/>
  <c r="AG97" i="2"/>
  <c r="AG106" i="2"/>
  <c r="AG19" i="2"/>
  <c r="AG43" i="2"/>
  <c r="AG18" i="2"/>
  <c r="AG105" i="2"/>
  <c r="AG8" i="2"/>
  <c r="AG76" i="2"/>
  <c r="AG13" i="2"/>
  <c r="AG52" i="2"/>
  <c r="AG68" i="2"/>
  <c r="AG65" i="2"/>
  <c r="AG46" i="2"/>
  <c r="AG40" i="2"/>
  <c r="AG26" i="2"/>
  <c r="AG70" i="2"/>
  <c r="AG115" i="2"/>
  <c r="AG32" i="2"/>
  <c r="AG77" i="2"/>
  <c r="AG90" i="2"/>
  <c r="AG98" i="2"/>
  <c r="AG53" i="2"/>
  <c r="AG134" i="2"/>
  <c r="AG86" i="2"/>
  <c r="AG37" i="2"/>
  <c r="AG66" i="2"/>
  <c r="AG93" i="2"/>
  <c r="AG29" i="2"/>
  <c r="AG123" i="2"/>
  <c r="AG74" i="2"/>
  <c r="AG60" i="2"/>
  <c r="AG109" i="2"/>
  <c r="AG81" i="2"/>
  <c r="AG6" i="2"/>
  <c r="AG100" i="2"/>
  <c r="AG62" i="2"/>
  <c r="AG27" i="2"/>
  <c r="AG73" i="2"/>
  <c r="AG69" i="2"/>
  <c r="AG17" i="2"/>
  <c r="AG112" i="2"/>
  <c r="AG39" i="2"/>
  <c r="AG119" i="2"/>
  <c r="AG30" i="2"/>
  <c r="AG129" i="2"/>
  <c r="AG83" i="2"/>
  <c r="AG88" i="2"/>
  <c r="AG50" i="2"/>
  <c r="AG2" i="2"/>
  <c r="AG22" i="2"/>
  <c r="AG57" i="2"/>
  <c r="AH2" i="2" l="1"/>
  <c r="W10" i="2" s="1"/>
</calcChain>
</file>

<file path=xl/sharedStrings.xml><?xml version="1.0" encoding="utf-8"?>
<sst xmlns="http://schemas.openxmlformats.org/spreadsheetml/2006/main" count="866" uniqueCount="337">
  <si>
    <t>BOOKPAGE</t>
  </si>
  <si>
    <t>SERIALNBR</t>
  </si>
  <si>
    <t>SaleDate</t>
  </si>
  <si>
    <t>SALEPRICE</t>
  </si>
  <si>
    <t>AdjustPrice</t>
  </si>
  <si>
    <t>MKTLAND</t>
  </si>
  <si>
    <t>MKTIMPROVE</t>
  </si>
  <si>
    <t>Factored Improved</t>
  </si>
  <si>
    <t>REGION</t>
  </si>
  <si>
    <t>DISTRICT</t>
  </si>
  <si>
    <t>NEIGHBOR</t>
  </si>
  <si>
    <t>LOTSIZE</t>
  </si>
  <si>
    <t>FLOORAREA</t>
  </si>
  <si>
    <t>YRBUILT</t>
  </si>
  <si>
    <t>EFFYRBUILT</t>
  </si>
  <si>
    <t>OG RATIO</t>
  </si>
  <si>
    <t>txtQuality</t>
  </si>
  <si>
    <t>Factored Ratio</t>
  </si>
  <si>
    <t>Quality</t>
  </si>
  <si>
    <t>Factor</t>
  </si>
  <si>
    <t>Region</t>
  </si>
  <si>
    <t>SF</t>
  </si>
  <si>
    <t>Year Built</t>
  </si>
  <si>
    <t>MLS2019565</t>
  </si>
  <si>
    <t>00-0012-1511</t>
  </si>
  <si>
    <t>3.01.02</t>
  </si>
  <si>
    <t>MLS1971705</t>
  </si>
  <si>
    <t>00-0012-0927</t>
  </si>
  <si>
    <t>MLS2003980</t>
  </si>
  <si>
    <t>00-0011-9630</t>
  </si>
  <si>
    <t>MLS2033475</t>
  </si>
  <si>
    <t>00-0031-2721</t>
  </si>
  <si>
    <t>4.01.03</t>
  </si>
  <si>
    <t>MLS2007630</t>
  </si>
  <si>
    <t>00-0032-7880</t>
  </si>
  <si>
    <t>MLS2016890</t>
  </si>
  <si>
    <t>00-0011-8277</t>
  </si>
  <si>
    <t>MLS1835260</t>
  </si>
  <si>
    <t>00-0009-6614</t>
  </si>
  <si>
    <t>1.01.02</t>
  </si>
  <si>
    <t>Total Res</t>
  </si>
  <si>
    <t>MLS2044750</t>
  </si>
  <si>
    <t>00-0000-4766</t>
  </si>
  <si>
    <t>1.01.01</t>
  </si>
  <si>
    <t>Mean</t>
  </si>
  <si>
    <t>MLS2019505</t>
  </si>
  <si>
    <t>00-0009-1763</t>
  </si>
  <si>
    <t>med</t>
  </si>
  <si>
    <t>COD</t>
  </si>
  <si>
    <t>MLS1951335</t>
  </si>
  <si>
    <t>00-0001-1944</t>
  </si>
  <si>
    <t>1.02.01</t>
  </si>
  <si>
    <t>Max Factor</t>
  </si>
  <si>
    <t>MLS2018292</t>
  </si>
  <si>
    <t>00-0002-2081</t>
  </si>
  <si>
    <t>2.01.01</t>
  </si>
  <si>
    <t>Residential Year Built</t>
  </si>
  <si>
    <t>Residential SqFt</t>
  </si>
  <si>
    <t>E574878</t>
  </si>
  <si>
    <t>00-0013-6055</t>
  </si>
  <si>
    <t>2.02.03</t>
  </si>
  <si>
    <t>Range</t>
  </si>
  <si>
    <t xml:space="preserve">Mean </t>
  </si>
  <si>
    <t>MLS1982846</t>
  </si>
  <si>
    <t>00-0011-8376</t>
  </si>
  <si>
    <t>0 to 1939</t>
  </si>
  <si>
    <t>0 to 1000</t>
  </si>
  <si>
    <t>MLS2012937</t>
  </si>
  <si>
    <t>00-0021-1148</t>
  </si>
  <si>
    <t>1940 to 1969</t>
  </si>
  <si>
    <t>1001 to 1300</t>
  </si>
  <si>
    <t>E582420</t>
  </si>
  <si>
    <t>00-0004-2758</t>
  </si>
  <si>
    <t>4.02.01</t>
  </si>
  <si>
    <t>1970 to 1989</t>
  </si>
  <si>
    <t>1301 to 1600</t>
  </si>
  <si>
    <t>MLS1983512</t>
  </si>
  <si>
    <t>00-0035-1054</t>
  </si>
  <si>
    <t>2.02.02</t>
  </si>
  <si>
    <t>1990 to 2009</t>
  </si>
  <si>
    <t>1601 to 2000</t>
  </si>
  <si>
    <t>MLS1992386</t>
  </si>
  <si>
    <t>00-0000-8429</t>
  </si>
  <si>
    <t>2010 to 2019</t>
  </si>
  <si>
    <t>2001 to 3000</t>
  </si>
  <si>
    <t>MLS1988505</t>
  </si>
  <si>
    <t>00-0028-2644</t>
  </si>
  <si>
    <t>2020 and up</t>
  </si>
  <si>
    <t>3001 and up</t>
  </si>
  <si>
    <t>MLS1882799</t>
  </si>
  <si>
    <t>00-0008-9007</t>
  </si>
  <si>
    <t>3.01.04</t>
  </si>
  <si>
    <t>MLS1984301</t>
  </si>
  <si>
    <t>00-0026-2687</t>
  </si>
  <si>
    <t>Residential Quality</t>
  </si>
  <si>
    <t>Residential Region</t>
  </si>
  <si>
    <t>MLS1963682</t>
  </si>
  <si>
    <t>00-0017-7018</t>
  </si>
  <si>
    <t>MLS1977171</t>
  </si>
  <si>
    <t>00-0000-5235</t>
  </si>
  <si>
    <t>MLS2022250</t>
  </si>
  <si>
    <t>00-0002-4913</t>
  </si>
  <si>
    <t>MLS1964354</t>
  </si>
  <si>
    <t>00-0002-9573</t>
  </si>
  <si>
    <t>MLS1962551</t>
  </si>
  <si>
    <t>00-0002-5068</t>
  </si>
  <si>
    <t>MLS1899717</t>
  </si>
  <si>
    <t>00-0033-3934</t>
  </si>
  <si>
    <t>MLS1815267</t>
  </si>
  <si>
    <t>00-0029-9721</t>
  </si>
  <si>
    <t>4.01.02</t>
  </si>
  <si>
    <t>MLS1976809</t>
  </si>
  <si>
    <t>00-0035-2647</t>
  </si>
  <si>
    <t>MLS1871532</t>
  </si>
  <si>
    <t>00-0033-7223</t>
  </si>
  <si>
    <t>MLS1984350</t>
  </si>
  <si>
    <t>00-0005-5545</t>
  </si>
  <si>
    <t>MLS1902212</t>
  </si>
  <si>
    <t>00-0026-2059</t>
  </si>
  <si>
    <t>MLS2002537</t>
  </si>
  <si>
    <t>00-0001-4542</t>
  </si>
  <si>
    <t>MLS2022549</t>
  </si>
  <si>
    <t>00-0000-6514</t>
  </si>
  <si>
    <t>MLS1974867</t>
  </si>
  <si>
    <t>00-0000-9161</t>
  </si>
  <si>
    <t>MLS2017460</t>
  </si>
  <si>
    <t>00-0002-4947</t>
  </si>
  <si>
    <t>MLS1987925</t>
  </si>
  <si>
    <t>00-0034-9528</t>
  </si>
  <si>
    <t>MLS1883805</t>
  </si>
  <si>
    <t>00-0032-0120</t>
  </si>
  <si>
    <t>4.02.02</t>
  </si>
  <si>
    <t>MLS2028052</t>
  </si>
  <si>
    <t>00-0009-3074</t>
  </si>
  <si>
    <t>3.01.06</t>
  </si>
  <si>
    <t>MLS2010203</t>
  </si>
  <si>
    <t>00-0033-5245</t>
  </si>
  <si>
    <t>1.01.05</t>
  </si>
  <si>
    <t>MLS1963843</t>
  </si>
  <si>
    <t>00-0031-3811</t>
  </si>
  <si>
    <t>3.02.01</t>
  </si>
  <si>
    <t>MLS1977703</t>
  </si>
  <si>
    <t>00-0000-0848</t>
  </si>
  <si>
    <t>4.01.01</t>
  </si>
  <si>
    <t>MLS1993226</t>
  </si>
  <si>
    <t>00-0001-8907</t>
  </si>
  <si>
    <t>MLS1879473</t>
  </si>
  <si>
    <t>00-0000-9054</t>
  </si>
  <si>
    <t>MLS1972737</t>
  </si>
  <si>
    <t>00-0014-3499</t>
  </si>
  <si>
    <t>MLS1874081</t>
  </si>
  <si>
    <t>00-0029-4862</t>
  </si>
  <si>
    <t>MLS1898890</t>
  </si>
  <si>
    <t>00-0018-0012</t>
  </si>
  <si>
    <t>MLS1898296</t>
  </si>
  <si>
    <t>00-0034-2204</t>
  </si>
  <si>
    <t>MLS1978302</t>
  </si>
  <si>
    <t>00-0001-9269</t>
  </si>
  <si>
    <t>MLS1976429</t>
  </si>
  <si>
    <t>00-0028-3337</t>
  </si>
  <si>
    <t>MLS2018632</t>
  </si>
  <si>
    <t>00-0001-6190</t>
  </si>
  <si>
    <t>MLS1995179</t>
  </si>
  <si>
    <t>00-0033-4134</t>
  </si>
  <si>
    <t>MLS1966409</t>
  </si>
  <si>
    <t>00-0026-2463</t>
  </si>
  <si>
    <t>MLS1902851</t>
  </si>
  <si>
    <t>00-0034-1282</t>
  </si>
  <si>
    <t>MLS1981667</t>
  </si>
  <si>
    <t>00-0002-6678</t>
  </si>
  <si>
    <t>MLS1963652</t>
  </si>
  <si>
    <t>00-0009-3496</t>
  </si>
  <si>
    <t>E577040</t>
  </si>
  <si>
    <t>00-0034-8847</t>
  </si>
  <si>
    <t>1.02.02</t>
  </si>
  <si>
    <t>MLS1973181</t>
  </si>
  <si>
    <t>00-0034-3860</t>
  </si>
  <si>
    <t>E576861</t>
  </si>
  <si>
    <t>00-0000-7058</t>
  </si>
  <si>
    <t>MLS2053012</t>
  </si>
  <si>
    <t>00-0034-9925</t>
  </si>
  <si>
    <t>E575394</t>
  </si>
  <si>
    <t>00-0035-2487</t>
  </si>
  <si>
    <t>2.02.01</t>
  </si>
  <si>
    <t>MLS1970340</t>
  </si>
  <si>
    <t>00-0034-8371</t>
  </si>
  <si>
    <t>E577617</t>
  </si>
  <si>
    <t>00-0027-4229</t>
  </si>
  <si>
    <t>MLS2005471</t>
  </si>
  <si>
    <t>00-0001-7958</t>
  </si>
  <si>
    <t>MLS1871372</t>
  </si>
  <si>
    <t>00-0000-5334</t>
  </si>
  <si>
    <t>MLS1998589</t>
  </si>
  <si>
    <t>00-0001-8386</t>
  </si>
  <si>
    <t>MLS1985265</t>
  </si>
  <si>
    <t>00-0002-6751</t>
  </si>
  <si>
    <t>MLS1976806</t>
  </si>
  <si>
    <t>00-0026-4568</t>
  </si>
  <si>
    <t>MLS1900745</t>
  </si>
  <si>
    <t>00-0031-1195</t>
  </si>
  <si>
    <t>MLS1993268</t>
  </si>
  <si>
    <t>00-0034-2282</t>
  </si>
  <si>
    <t>MLS2017197</t>
  </si>
  <si>
    <t>00-0034-8907</t>
  </si>
  <si>
    <t>MLS1976144</t>
  </si>
  <si>
    <t>00-0002-7106</t>
  </si>
  <si>
    <t>MLS1899267</t>
  </si>
  <si>
    <t>00-0000-0368</t>
  </si>
  <si>
    <t>MLS2020372</t>
  </si>
  <si>
    <t>00-0002-2917</t>
  </si>
  <si>
    <t>MLS1986874</t>
  </si>
  <si>
    <t>00-0000-9104</t>
  </si>
  <si>
    <t>MLS1989685</t>
  </si>
  <si>
    <t>00-0028-4590</t>
  </si>
  <si>
    <t>MLS2020676</t>
  </si>
  <si>
    <t>00-0008-7449</t>
  </si>
  <si>
    <t>MLS1998132</t>
  </si>
  <si>
    <t>00-0004-4705</t>
  </si>
  <si>
    <t>4.01.04</t>
  </si>
  <si>
    <t>MLS2014319</t>
  </si>
  <si>
    <t>00-0001-9798</t>
  </si>
  <si>
    <t>MLS2014468</t>
  </si>
  <si>
    <t>00-0002-7551</t>
  </si>
  <si>
    <t>MLS1970623</t>
  </si>
  <si>
    <t>00-0030-1618</t>
  </si>
  <si>
    <t>MLS1984115</t>
  </si>
  <si>
    <t>00-0035-1258</t>
  </si>
  <si>
    <t>MLS1871274</t>
  </si>
  <si>
    <t>00-0009-0203</t>
  </si>
  <si>
    <t>MLS1963521</t>
  </si>
  <si>
    <t>00-0035-1168</t>
  </si>
  <si>
    <t>MLS1993901</t>
  </si>
  <si>
    <t>00-0001-8824</t>
  </si>
  <si>
    <t>MLS1980976</t>
  </si>
  <si>
    <t>00-0034-8577</t>
  </si>
  <si>
    <t>MLS1976741</t>
  </si>
  <si>
    <t>00-0002-6793</t>
  </si>
  <si>
    <t>MLS1976888</t>
  </si>
  <si>
    <t>00-0035-1199</t>
  </si>
  <si>
    <t>MLS1981206</t>
  </si>
  <si>
    <t>00-0009-6572</t>
  </si>
  <si>
    <t>1.01.03</t>
  </si>
  <si>
    <t>MLS2021730</t>
  </si>
  <si>
    <t>00-0035-1256</t>
  </si>
  <si>
    <t>MLS1998399</t>
  </si>
  <si>
    <t>00-0035-0238</t>
  </si>
  <si>
    <t>MLS1990743</t>
  </si>
  <si>
    <t>00-0014-0602</t>
  </si>
  <si>
    <t>E577096</t>
  </si>
  <si>
    <t>00-0033-3789</t>
  </si>
  <si>
    <t>MLS1978791</t>
  </si>
  <si>
    <t>00-0039-5908</t>
  </si>
  <si>
    <t>E574175</t>
  </si>
  <si>
    <t>00-0034-9474</t>
  </si>
  <si>
    <t>MLS2023954</t>
  </si>
  <si>
    <t>00-0034-8731</t>
  </si>
  <si>
    <t>MLS2010590</t>
  </si>
  <si>
    <t>00-0034-8786</t>
  </si>
  <si>
    <t>MLS1901469</t>
  </si>
  <si>
    <t>00-0034-4340</t>
  </si>
  <si>
    <t>MLS1974853</t>
  </si>
  <si>
    <t>00-0030-7516</t>
  </si>
  <si>
    <t>MLS1903440</t>
  </si>
  <si>
    <t>00-0029-6727</t>
  </si>
  <si>
    <t>MLS1901363</t>
  </si>
  <si>
    <t>00-0005-6345</t>
  </si>
  <si>
    <t>MLS2001274</t>
  </si>
  <si>
    <t>00-0021-2948</t>
  </si>
  <si>
    <t>MLS1971724</t>
  </si>
  <si>
    <t>00-0011-9317</t>
  </si>
  <si>
    <t>MLS1986173</t>
  </si>
  <si>
    <t>00-0035-0242</t>
  </si>
  <si>
    <t>MLS2014089</t>
  </si>
  <si>
    <t>00-0034-9520</t>
  </si>
  <si>
    <t>MLS1962959</t>
  </si>
  <si>
    <t>00-0003-1389</t>
  </si>
  <si>
    <t>MLS1975995</t>
  </si>
  <si>
    <t>00-0004-1834</t>
  </si>
  <si>
    <t>MLS1903264</t>
  </si>
  <si>
    <t>00-0033-5167</t>
  </si>
  <si>
    <t>MLS1966104</t>
  </si>
  <si>
    <t>00-0000-4972</t>
  </si>
  <si>
    <t>MLS1973742</t>
  </si>
  <si>
    <t>00-0034-8467</t>
  </si>
  <si>
    <t>MLS1991789</t>
  </si>
  <si>
    <t>00-0001-6836</t>
  </si>
  <si>
    <t>MLS1985471</t>
  </si>
  <si>
    <t>00-0014-2657</t>
  </si>
  <si>
    <t>3.02.02</t>
  </si>
  <si>
    <t>MLS1988230</t>
  </si>
  <si>
    <t>00-0034-7583</t>
  </si>
  <si>
    <t>MLS2018396</t>
  </si>
  <si>
    <t>00-0001-6141</t>
  </si>
  <si>
    <t>MLS1982817</t>
  </si>
  <si>
    <t>00-0011-8442</t>
  </si>
  <si>
    <t>MLS1985534</t>
  </si>
  <si>
    <t>00-0009-0021</t>
  </si>
  <si>
    <t>MLS2011531</t>
  </si>
  <si>
    <t>00-0001-6794</t>
  </si>
  <si>
    <t>MLS1979071</t>
  </si>
  <si>
    <t>00-0034-8668</t>
  </si>
  <si>
    <t>MLS2011526</t>
  </si>
  <si>
    <t>00-0035-0471</t>
  </si>
  <si>
    <t>MLS1805830</t>
  </si>
  <si>
    <t>00-0034-8434</t>
  </si>
  <si>
    <t>MLS1984061</t>
  </si>
  <si>
    <t>00-0032-3760</t>
  </si>
  <si>
    <t>MLS2020742</t>
  </si>
  <si>
    <t>00-0005-6899</t>
  </si>
  <si>
    <t>MLS2017052</t>
  </si>
  <si>
    <t>00-0028-3014</t>
  </si>
  <si>
    <t>MLS2018264</t>
  </si>
  <si>
    <t>00-0027-8394</t>
  </si>
  <si>
    <t>E575855</t>
  </si>
  <si>
    <t>00-0001-2181</t>
  </si>
  <si>
    <t>MLS1883512</t>
  </si>
  <si>
    <t>00-0032-9360</t>
  </si>
  <si>
    <t>MLS2012835</t>
  </si>
  <si>
    <t>00-0002-1950</t>
  </si>
  <si>
    <t>E577286</t>
  </si>
  <si>
    <t>00-0034-7726</t>
  </si>
  <si>
    <t>MLS1975542</t>
  </si>
  <si>
    <t>00-0034-6417</t>
  </si>
  <si>
    <t>MLS1985733</t>
  </si>
  <si>
    <t>00-0034-9051</t>
  </si>
  <si>
    <t>MLS1900500</t>
  </si>
  <si>
    <t>00-0002-1620</t>
  </si>
  <si>
    <t>E576060</t>
  </si>
  <si>
    <t>00-0002-7056</t>
  </si>
  <si>
    <t>MLS1982517</t>
  </si>
  <si>
    <t>00-0034-9186</t>
  </si>
  <si>
    <t>MLS1896822</t>
  </si>
  <si>
    <t>00-0029-9010</t>
  </si>
  <si>
    <t>E582520</t>
  </si>
  <si>
    <t>00-0002-1489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</si>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</sst>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MS Sans Serif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2" fillId="0" borderId="0" xfId="1" applyFont="1" applyFill="1" applyBorder="1" applyAlignment="1" applyProtection="1">
      <alignment horizontal="left" vertical="center" wrapText="1"/>
    </xf>
    <xf numFmtId="164" fontId="2" fillId="0" borderId="0" xfId="1" applyNumberFormat="1" applyFont="1" applyFill="1" applyBorder="1" applyAlignment="1" applyProtection="1">
      <alignment horizontal="right" vertical="center" wrapText="1"/>
    </xf>
    <xf numFmtId="4" fontId="2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ill="1" applyBorder="1"/>
    <xf numFmtId="0" fontId="2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center" vertical="center" wrapText="1"/>
    </xf>
    <xf numFmtId="2" fontId="2" fillId="0" borderId="0" xfId="1" applyNumberFormat="1" applyFont="1" applyFill="1" applyBorder="1" applyAlignment="1" applyProtection="1">
      <alignment horizontal="right" vertical="center" wrapText="1"/>
    </xf>
    <xf numFmtId="0" fontId="2" fillId="0" borderId="0" xfId="1" applyFont="1" applyFill="1" applyBorder="1" applyAlignment="1" applyProtection="1">
      <alignment horizontal="right" vertical="center" wrapText="1"/>
    </xf>
    <xf numFmtId="165" fontId="1" fillId="0" borderId="0" xfId="1" applyNumberFormat="1" applyFill="1" applyBorder="1"/>
    <xf numFmtId="165" fontId="1" fillId="0" borderId="0" xfId="1" applyNumberFormat="1"/>
    <xf numFmtId="0" fontId="1" fillId="0" borderId="4" xfId="1" applyBorder="1"/>
    <xf numFmtId="0" fontId="1" fillId="0" borderId="0" xfId="1" applyBorder="1"/>
    <xf numFmtId="0" fontId="1" fillId="0" borderId="5" xfId="1" applyBorder="1"/>
    <xf numFmtId="0" fontId="1" fillId="0" borderId="6" xfId="1" applyBorder="1"/>
    <xf numFmtId="165" fontId="1" fillId="0" borderId="0" xfId="1" applyNumberFormat="1" applyFill="1"/>
    <xf numFmtId="0" fontId="1" fillId="0" borderId="1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0" xfId="1" applyAlignment="1"/>
    <xf numFmtId="0" fontId="1" fillId="0" borderId="8" xfId="1" applyBorder="1"/>
    <xf numFmtId="0" fontId="1" fillId="0" borderId="9" xfId="1" applyBorder="1"/>
    <xf numFmtId="0" fontId="0" fillId="0" borderId="0" xfId="1" applyFont="1"/>
    <xf numFmtId="4" fontId="3" fillId="0" borderId="0" xfId="1" applyNumberFormat="1" applyFont="1" applyFill="1" applyBorder="1" applyAlignment="1" applyProtection="1">
      <alignment horizontal="center" wrapText="1"/>
    </xf>
    <xf numFmtId="0" fontId="3" fillId="0" borderId="0" xfId="1" applyNumberFormat="1" applyFont="1" applyFill="1" applyBorder="1" applyAlignment="1" applyProtection="1">
      <alignment horizontal="center" wrapText="1"/>
    </xf>
    <xf numFmtId="0" fontId="3" fillId="0" borderId="0" xfId="1" applyFont="1" applyFill="1" applyBorder="1" applyAlignment="1" applyProtection="1">
      <alignment horizontal="center" wrapText="1"/>
    </xf>
    <xf numFmtId="0" fontId="1" fillId="0" borderId="0" xfId="1" applyFont="1" applyAlignment="1">
      <alignment horizontal="center"/>
    </xf>
    <xf numFmtId="164" fontId="3" fillId="0" borderId="0" xfId="1" applyNumberFormat="1" applyFont="1" applyFill="1" applyBorder="1" applyAlignment="1" applyProtection="1">
      <alignment horizontal="center" wrapText="1"/>
    </xf>
    <xf numFmtId="2" fontId="3" fillId="0" borderId="0" xfId="1" applyNumberFormat="1" applyFont="1" applyFill="1" applyBorder="1" applyAlignment="1" applyProtection="1">
      <alignment horizontal="center" wrapText="1"/>
    </xf>
    <xf numFmtId="165" fontId="1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1" fillId="0" borderId="0" xfId="1" applyNumberFormat="1"/>
    <xf numFmtId="0" fontId="0" fillId="0" borderId="0" xfId="0" applyNumberFormat="1"/>
    <xf numFmtId="0" fontId="0" fillId="0" borderId="0" xfId="1" applyNumberFormat="1" applyFont="1"/>
    <xf numFmtId="0" fontId="1" fillId="0" borderId="0" xfId="1" applyNumberFormat="1" applyAlignment="1"/>
  </cellXfs>
  <cellStyles count="2">
    <cellStyle name="Normal" xfId="0" builtinId="0"/>
    <cellStyle name="Normal 2" xfId="1" xr:uid="{4C260179-84E1-4DC7-B971-35F2FC75ADE5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F650-E4F3-4465-9961-1780D6A77A20}">
  <dimension ref="A1:AI135"/>
  <sheetViews>
    <sheetView topLeftCell="E1" zoomScale="80" zoomScaleNormal="80" workbookViewId="0">
      <selection activeCell="X39" sqref="X39"/>
    </sheetView>
  </sheetViews>
  <sheetFormatPr defaultRowHeight="15" x14ac:dyDescent="0.25"/>
  <cols>
    <col min="1" max="1" width="12.42578125" bestFit="1" customWidth="1"/>
    <col min="2" max="2" width="13.42578125" bestFit="1" customWidth="1"/>
    <col min="3" max="3" width="10.7109375" bestFit="1" customWidth="1"/>
    <col min="4" max="5" width="12.140625" bestFit="1" customWidth="1"/>
    <col min="6" max="6" width="10.5703125" bestFit="1" customWidth="1"/>
    <col min="7" max="7" width="13.7109375" bestFit="1" customWidth="1"/>
    <col min="8" max="8" width="19.5703125" bestFit="1" customWidth="1"/>
    <col min="9" max="9" width="8.5703125" bestFit="1" customWidth="1"/>
    <col min="10" max="10" width="9.5703125" bestFit="1" customWidth="1"/>
    <col min="11" max="11" width="11.28515625" bestFit="1" customWidth="1"/>
    <col min="12" max="12" width="8.5703125" bestFit="1" customWidth="1"/>
    <col min="13" max="13" width="12.140625" bestFit="1" customWidth="1"/>
    <col min="14" max="14" width="8.85546875" bestFit="1" customWidth="1"/>
    <col min="15" max="15" width="12.140625" bestFit="1" customWidth="1"/>
    <col min="16" max="16" width="10.28515625" bestFit="1" customWidth="1"/>
    <col min="17" max="17" width="10.5703125" bestFit="1" customWidth="1"/>
    <col min="18" max="18" width="15.5703125" bestFit="1" customWidth="1"/>
    <col min="20" max="20" width="12.85546875" bestFit="1" customWidth="1"/>
    <col min="25" max="25" width="12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2" t="s">
        <v>18</v>
      </c>
      <c r="U1" s="3" t="s">
        <v>19</v>
      </c>
      <c r="V1" s="2" t="s">
        <v>20</v>
      </c>
      <c r="W1" s="3" t="s">
        <v>19</v>
      </c>
      <c r="X1" s="2" t="s">
        <v>21</v>
      </c>
      <c r="Y1" s="4"/>
      <c r="Z1" s="3" t="s">
        <v>19</v>
      </c>
      <c r="AA1" s="2" t="s">
        <v>22</v>
      </c>
      <c r="AB1" s="4"/>
      <c r="AC1" s="3" t="s">
        <v>19</v>
      </c>
      <c r="AD1" s="1"/>
      <c r="AE1" s="1"/>
      <c r="AF1" s="1"/>
      <c r="AG1" s="1"/>
      <c r="AH1" s="1"/>
      <c r="AI1" s="1"/>
    </row>
    <row r="2" spans="1:35" x14ac:dyDescent="0.25">
      <c r="A2" s="5" t="s">
        <v>23</v>
      </c>
      <c r="B2" s="5" t="s">
        <v>24</v>
      </c>
      <c r="C2" s="6">
        <v>45581</v>
      </c>
      <c r="D2" s="7">
        <v>390000</v>
      </c>
      <c r="E2" s="7">
        <v>390000</v>
      </c>
      <c r="F2" s="7">
        <v>74000</v>
      </c>
      <c r="G2" s="7">
        <v>171124</v>
      </c>
      <c r="H2" s="8">
        <f>ROUND(G2*(INDEX($W$2:$W$7,MATCH(I2,$V$2:$V$7,0)))* INDEX($Z$2:$Z$7, MATCH(M2, $X$2:$X$7, 1))* INDEX($AC$2:$AC$7, MATCH(N2, $AA$2:$AA$7, 1))*INDEX($U$2:$U$7,MATCH(Q2,$T$2:$T$7,0)),2)</f>
        <v>174546.48</v>
      </c>
      <c r="I2" s="9">
        <v>3</v>
      </c>
      <c r="J2" s="9">
        <v>1211575</v>
      </c>
      <c r="K2" s="10" t="s">
        <v>25</v>
      </c>
      <c r="L2" s="11">
        <v>5</v>
      </c>
      <c r="M2" s="12">
        <v>900</v>
      </c>
      <c r="N2" s="10">
        <v>2013</v>
      </c>
      <c r="O2" s="10">
        <v>5</v>
      </c>
      <c r="P2" s="13">
        <f>(F2+G2)/E2</f>
        <v>0.62852307692307696</v>
      </c>
      <c r="Q2" s="9">
        <v>3</v>
      </c>
      <c r="R2" s="14">
        <f>(H2+F2)/E2</f>
        <v>0.63729866666666668</v>
      </c>
      <c r="S2" s="1"/>
      <c r="T2" s="15">
        <v>1</v>
      </c>
      <c r="U2" s="3">
        <v>1</v>
      </c>
      <c r="V2" s="15">
        <v>1</v>
      </c>
      <c r="W2" s="3">
        <v>1.02</v>
      </c>
      <c r="X2" s="15">
        <v>0</v>
      </c>
      <c r="Y2" s="16">
        <v>1000</v>
      </c>
      <c r="Z2" s="3">
        <v>1</v>
      </c>
      <c r="AA2" s="15">
        <v>0</v>
      </c>
      <c r="AB2" s="16">
        <v>1939</v>
      </c>
      <c r="AC2" s="3">
        <v>1</v>
      </c>
      <c r="AD2" s="1"/>
      <c r="AE2" s="1"/>
      <c r="AF2" s="1"/>
      <c r="AG2" s="14">
        <f t="shared" ref="AG2:AG65" si="0">ABS(R2-$V$10)</f>
        <v>0.29751480927937068</v>
      </c>
      <c r="AH2" s="14">
        <f>AVERAGE(AG2:AG147)</f>
        <v>0.10512538834614242</v>
      </c>
      <c r="AI2" s="1"/>
    </row>
    <row r="3" spans="1:35" x14ac:dyDescent="0.25">
      <c r="A3" s="5" t="s">
        <v>26</v>
      </c>
      <c r="B3" s="5" t="s">
        <v>27</v>
      </c>
      <c r="C3" s="6">
        <v>45407</v>
      </c>
      <c r="D3" s="7">
        <v>467000</v>
      </c>
      <c r="E3" s="7">
        <v>467000</v>
      </c>
      <c r="F3" s="7">
        <v>74000</v>
      </c>
      <c r="G3" s="7">
        <v>280350</v>
      </c>
      <c r="H3" s="8">
        <f t="shared" ref="H3:H66" si="1">ROUND(G3*(INDEX($W$2:$W$7,MATCH(I3,$V$2:$V$7,0)))* INDEX($Z$2:$Z$7, MATCH(M3, $X$2:$X$7, 1))* INDEX($AC$2:$AC$7, MATCH(N3, $AA$2:$AA$7, 1))*INDEX($U$2:$U$7,MATCH(Q3,$T$2:$T$7,0)),2)</f>
        <v>285957</v>
      </c>
      <c r="I3" s="9">
        <v>3</v>
      </c>
      <c r="J3" s="9">
        <v>1211575</v>
      </c>
      <c r="K3" s="10" t="s">
        <v>25</v>
      </c>
      <c r="L3" s="11">
        <v>5</v>
      </c>
      <c r="M3" s="12">
        <v>1586</v>
      </c>
      <c r="N3" s="10">
        <v>2022</v>
      </c>
      <c r="O3" s="10">
        <v>2</v>
      </c>
      <c r="P3" s="13">
        <f t="shared" ref="P3:P66" si="2">(F3+G3)/E3</f>
        <v>0.75877944325481794</v>
      </c>
      <c r="Q3" s="9">
        <v>3</v>
      </c>
      <c r="R3" s="14">
        <f t="shared" ref="R3:R66" si="3">(H3+F3)/E3</f>
        <v>0.77078586723768738</v>
      </c>
      <c r="S3" s="1"/>
      <c r="T3" s="15">
        <v>2</v>
      </c>
      <c r="U3" s="3">
        <v>1</v>
      </c>
      <c r="V3" s="15">
        <v>2</v>
      </c>
      <c r="W3" s="3">
        <v>1.02</v>
      </c>
      <c r="X3" s="15">
        <v>1001</v>
      </c>
      <c r="Y3" s="16">
        <v>1300</v>
      </c>
      <c r="Z3" s="3">
        <v>1</v>
      </c>
      <c r="AA3" s="15">
        <v>1940</v>
      </c>
      <c r="AB3" s="16">
        <v>1969</v>
      </c>
      <c r="AC3" s="3">
        <v>1</v>
      </c>
      <c r="AD3" s="1"/>
      <c r="AE3" s="1"/>
      <c r="AF3" s="1"/>
      <c r="AG3" s="14">
        <f t="shared" si="0"/>
        <v>0.16402760870834998</v>
      </c>
      <c r="AH3" s="1"/>
      <c r="AI3" s="1"/>
    </row>
    <row r="4" spans="1:35" x14ac:dyDescent="0.25">
      <c r="A4" s="5" t="s">
        <v>28</v>
      </c>
      <c r="B4" s="5" t="s">
        <v>29</v>
      </c>
      <c r="C4" s="6">
        <v>45485</v>
      </c>
      <c r="D4" s="7">
        <v>240000</v>
      </c>
      <c r="E4" s="7">
        <v>232950</v>
      </c>
      <c r="F4" s="7">
        <v>59000</v>
      </c>
      <c r="G4" s="7">
        <v>129252</v>
      </c>
      <c r="H4" s="8">
        <f t="shared" si="1"/>
        <v>131837.04</v>
      </c>
      <c r="I4" s="9">
        <v>3</v>
      </c>
      <c r="J4" s="9">
        <v>1211575</v>
      </c>
      <c r="K4" s="10" t="s">
        <v>25</v>
      </c>
      <c r="L4" s="11">
        <v>5</v>
      </c>
      <c r="M4" s="12">
        <v>569</v>
      </c>
      <c r="N4" s="10">
        <v>2019</v>
      </c>
      <c r="O4" s="10">
        <v>3</v>
      </c>
      <c r="P4" s="13">
        <f t="shared" si="2"/>
        <v>0.80812191457394289</v>
      </c>
      <c r="Q4" s="9">
        <v>3</v>
      </c>
      <c r="R4" s="14">
        <f t="shared" si="3"/>
        <v>0.81921888817342781</v>
      </c>
      <c r="S4" s="1"/>
      <c r="T4" s="15">
        <v>2.5</v>
      </c>
      <c r="U4" s="3">
        <v>1</v>
      </c>
      <c r="V4" s="15">
        <v>3</v>
      </c>
      <c r="W4" s="3">
        <v>1.02</v>
      </c>
      <c r="X4" s="15">
        <v>1301</v>
      </c>
      <c r="Y4" s="16">
        <v>1600</v>
      </c>
      <c r="Z4" s="3">
        <v>1</v>
      </c>
      <c r="AA4" s="15">
        <v>1970</v>
      </c>
      <c r="AB4" s="16">
        <v>1989</v>
      </c>
      <c r="AC4" s="3">
        <v>1</v>
      </c>
      <c r="AD4" s="1"/>
      <c r="AE4" s="1"/>
      <c r="AF4" s="1"/>
      <c r="AG4" s="14">
        <f t="shared" si="0"/>
        <v>0.11559458777260956</v>
      </c>
      <c r="AH4" s="1"/>
      <c r="AI4" s="1"/>
    </row>
    <row r="5" spans="1:35" x14ac:dyDescent="0.25">
      <c r="A5" s="5" t="s">
        <v>30</v>
      </c>
      <c r="B5" s="5" t="s">
        <v>31</v>
      </c>
      <c r="C5" s="6">
        <v>45653</v>
      </c>
      <c r="D5" s="7">
        <v>394900</v>
      </c>
      <c r="E5" s="7">
        <v>384900</v>
      </c>
      <c r="F5" s="7">
        <v>40200</v>
      </c>
      <c r="G5" s="7">
        <v>214556</v>
      </c>
      <c r="H5" s="8">
        <f t="shared" si="1"/>
        <v>218847.12</v>
      </c>
      <c r="I5" s="9">
        <v>4</v>
      </c>
      <c r="J5" s="9">
        <v>7173513</v>
      </c>
      <c r="K5" s="10" t="s">
        <v>32</v>
      </c>
      <c r="L5" s="11">
        <v>16.8</v>
      </c>
      <c r="M5" s="12">
        <v>1232</v>
      </c>
      <c r="N5" s="10">
        <v>1996</v>
      </c>
      <c r="O5" s="10">
        <v>11</v>
      </c>
      <c r="P5" s="13">
        <f t="shared" si="2"/>
        <v>0.66187581189919464</v>
      </c>
      <c r="Q5" s="9">
        <v>3</v>
      </c>
      <c r="R5" s="14">
        <f t="shared" si="3"/>
        <v>0.67302447388932185</v>
      </c>
      <c r="S5" s="1"/>
      <c r="T5" s="15">
        <v>3</v>
      </c>
      <c r="U5" s="3">
        <v>1</v>
      </c>
      <c r="V5" s="15">
        <v>4</v>
      </c>
      <c r="W5" s="3">
        <v>1.02</v>
      </c>
      <c r="X5" s="15">
        <v>1601</v>
      </c>
      <c r="Y5" s="16">
        <v>2000</v>
      </c>
      <c r="Z5" s="3">
        <v>1</v>
      </c>
      <c r="AA5" s="15">
        <v>1990</v>
      </c>
      <c r="AB5" s="16">
        <v>2009</v>
      </c>
      <c r="AC5" s="3">
        <v>1</v>
      </c>
      <c r="AD5" s="1"/>
      <c r="AE5" s="1"/>
      <c r="AF5" s="1"/>
      <c r="AG5" s="14">
        <f t="shared" si="0"/>
        <v>0.26178900205671551</v>
      </c>
      <c r="AH5" s="1"/>
      <c r="AI5" s="1"/>
    </row>
    <row r="6" spans="1:35" x14ac:dyDescent="0.25">
      <c r="A6" s="5" t="s">
        <v>33</v>
      </c>
      <c r="B6" s="5" t="s">
        <v>34</v>
      </c>
      <c r="C6" s="6">
        <v>45533</v>
      </c>
      <c r="D6" s="7">
        <v>482000</v>
      </c>
      <c r="E6" s="7">
        <v>482000</v>
      </c>
      <c r="F6" s="7">
        <v>73900</v>
      </c>
      <c r="G6" s="7">
        <v>201957</v>
      </c>
      <c r="H6" s="8">
        <f t="shared" si="1"/>
        <v>205996.14</v>
      </c>
      <c r="I6" s="9">
        <v>3</v>
      </c>
      <c r="J6" s="9">
        <v>1211575</v>
      </c>
      <c r="K6" s="10" t="s">
        <v>25</v>
      </c>
      <c r="L6" s="11">
        <v>9.56</v>
      </c>
      <c r="M6" s="12">
        <v>1210</v>
      </c>
      <c r="N6" s="10">
        <v>2021</v>
      </c>
      <c r="O6" s="10">
        <v>2</v>
      </c>
      <c r="P6" s="13">
        <f t="shared" si="2"/>
        <v>0.57231742738589209</v>
      </c>
      <c r="Q6" s="9">
        <v>3</v>
      </c>
      <c r="R6" s="14">
        <f t="shared" si="3"/>
        <v>0.58069738589211617</v>
      </c>
      <c r="S6" s="1"/>
      <c r="T6" s="15">
        <v>3.5</v>
      </c>
      <c r="U6" s="3">
        <v>1</v>
      </c>
      <c r="V6" s="17">
        <v>5</v>
      </c>
      <c r="W6" s="3">
        <v>1.02</v>
      </c>
      <c r="X6" s="15">
        <v>2001</v>
      </c>
      <c r="Y6" s="16">
        <v>3000</v>
      </c>
      <c r="Z6" s="3">
        <v>1</v>
      </c>
      <c r="AA6" s="15">
        <v>2010</v>
      </c>
      <c r="AB6" s="16">
        <v>2019</v>
      </c>
      <c r="AC6" s="3">
        <v>1</v>
      </c>
      <c r="AD6" s="1"/>
      <c r="AE6" s="1"/>
      <c r="AF6" s="1"/>
      <c r="AG6" s="14">
        <f t="shared" si="0"/>
        <v>0.3541160900539212</v>
      </c>
      <c r="AH6" s="1"/>
      <c r="AI6" s="1"/>
    </row>
    <row r="7" spans="1:35" x14ac:dyDescent="0.25">
      <c r="A7" s="5" t="s">
        <v>35</v>
      </c>
      <c r="B7" s="5" t="s">
        <v>36</v>
      </c>
      <c r="C7" s="6">
        <v>45610</v>
      </c>
      <c r="D7" s="7">
        <v>278000</v>
      </c>
      <c r="E7" s="7">
        <v>278000</v>
      </c>
      <c r="F7" s="7">
        <v>74000</v>
      </c>
      <c r="G7" s="7">
        <v>120534</v>
      </c>
      <c r="H7" s="8">
        <f t="shared" si="1"/>
        <v>122944.68</v>
      </c>
      <c r="I7" s="9">
        <v>3</v>
      </c>
      <c r="J7" s="9">
        <v>1211575</v>
      </c>
      <c r="K7" s="10" t="s">
        <v>25</v>
      </c>
      <c r="L7" s="11">
        <v>5</v>
      </c>
      <c r="M7" s="12">
        <v>768</v>
      </c>
      <c r="N7" s="10">
        <v>1984</v>
      </c>
      <c r="O7" s="10">
        <v>2</v>
      </c>
      <c r="P7" s="13">
        <f t="shared" si="2"/>
        <v>0.69976258992805751</v>
      </c>
      <c r="Q7" s="9">
        <v>3</v>
      </c>
      <c r="R7" s="14">
        <f t="shared" si="3"/>
        <v>0.70843410071942448</v>
      </c>
      <c r="S7" s="1"/>
      <c r="T7" s="17">
        <v>4</v>
      </c>
      <c r="U7" s="3">
        <v>1</v>
      </c>
      <c r="V7" s="1"/>
      <c r="W7" s="1"/>
      <c r="X7" s="17">
        <v>3001</v>
      </c>
      <c r="Y7" s="18">
        <v>1000000</v>
      </c>
      <c r="Z7" s="3">
        <v>1</v>
      </c>
      <c r="AA7" s="17">
        <v>2020</v>
      </c>
      <c r="AB7" s="18">
        <v>2025</v>
      </c>
      <c r="AC7" s="3">
        <v>1</v>
      </c>
      <c r="AD7" s="1"/>
      <c r="AE7" s="1"/>
      <c r="AF7" s="1"/>
      <c r="AG7" s="14">
        <f t="shared" si="0"/>
        <v>0.22637937522661289</v>
      </c>
      <c r="AH7" s="1"/>
      <c r="AI7" s="1"/>
    </row>
    <row r="8" spans="1:35" x14ac:dyDescent="0.25">
      <c r="A8" s="5" t="s">
        <v>37</v>
      </c>
      <c r="B8" s="5" t="s">
        <v>38</v>
      </c>
      <c r="C8" s="6">
        <v>45369</v>
      </c>
      <c r="D8" s="7">
        <v>208900</v>
      </c>
      <c r="E8" s="7">
        <v>208900</v>
      </c>
      <c r="F8" s="7">
        <v>28700</v>
      </c>
      <c r="G8" s="7">
        <v>119185</v>
      </c>
      <c r="H8" s="8">
        <f t="shared" si="1"/>
        <v>121568.7</v>
      </c>
      <c r="I8" s="9">
        <v>1</v>
      </c>
      <c r="J8" s="9">
        <v>6333848</v>
      </c>
      <c r="K8" s="10" t="s">
        <v>39</v>
      </c>
      <c r="L8" s="11">
        <v>1</v>
      </c>
      <c r="M8" s="12">
        <v>800</v>
      </c>
      <c r="N8" s="10">
        <v>1980</v>
      </c>
      <c r="O8" s="10">
        <v>18</v>
      </c>
      <c r="P8" s="13">
        <f t="shared" si="2"/>
        <v>0.70792245093346096</v>
      </c>
      <c r="Q8" s="9">
        <v>3</v>
      </c>
      <c r="R8" s="14">
        <f t="shared" si="3"/>
        <v>0.71933317376735284</v>
      </c>
      <c r="S8" s="1"/>
      <c r="T8" s="1" t="s">
        <v>40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4">
        <f t="shared" si="0"/>
        <v>0.21548030217868452</v>
      </c>
      <c r="AH8" s="1"/>
      <c r="AI8" s="1"/>
    </row>
    <row r="9" spans="1:35" x14ac:dyDescent="0.25">
      <c r="A9" s="5" t="s">
        <v>41</v>
      </c>
      <c r="B9" s="5" t="s">
        <v>42</v>
      </c>
      <c r="C9" s="6">
        <v>45656</v>
      </c>
      <c r="D9" s="7">
        <v>185000</v>
      </c>
      <c r="E9" s="7">
        <v>185000</v>
      </c>
      <c r="F9" s="7">
        <v>40662</v>
      </c>
      <c r="G9" s="7">
        <v>90932</v>
      </c>
      <c r="H9" s="8">
        <f t="shared" si="1"/>
        <v>92750.64</v>
      </c>
      <c r="I9" s="9">
        <v>1</v>
      </c>
      <c r="J9" s="9">
        <v>2173157</v>
      </c>
      <c r="K9" s="10" t="s">
        <v>43</v>
      </c>
      <c r="L9" s="11">
        <v>0.19</v>
      </c>
      <c r="M9" s="12">
        <v>744</v>
      </c>
      <c r="N9" s="10">
        <v>1945</v>
      </c>
      <c r="O9" s="10">
        <v>18</v>
      </c>
      <c r="P9" s="13">
        <f t="shared" si="2"/>
        <v>0.71131891891891896</v>
      </c>
      <c r="Q9" s="9">
        <v>2.5</v>
      </c>
      <c r="R9" s="14">
        <f t="shared" si="3"/>
        <v>0.72114940540540551</v>
      </c>
      <c r="S9" s="1"/>
      <c r="T9" s="1" t="s">
        <v>44</v>
      </c>
      <c r="U9" s="14">
        <f>AVERAGE($P$2:$P$147)</f>
        <v>0.9069057444055193</v>
      </c>
      <c r="V9" s="14">
        <f>AVERAGE($R$2:$R$147)</f>
        <v>0.92129310144341592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4">
        <f t="shared" si="0"/>
        <v>0.21366407054063186</v>
      </c>
      <c r="AH9" s="1"/>
      <c r="AI9" s="1"/>
    </row>
    <row r="10" spans="1:35" x14ac:dyDescent="0.25">
      <c r="A10" s="5" t="s">
        <v>45</v>
      </c>
      <c r="B10" s="5" t="s">
        <v>46</v>
      </c>
      <c r="C10" s="6">
        <v>45566</v>
      </c>
      <c r="D10" s="7">
        <v>250000</v>
      </c>
      <c r="E10" s="7">
        <v>250000</v>
      </c>
      <c r="F10" s="7">
        <v>32000</v>
      </c>
      <c r="G10" s="7">
        <v>151271</v>
      </c>
      <c r="H10" s="8">
        <f t="shared" si="1"/>
        <v>154296.42000000001</v>
      </c>
      <c r="I10" s="9">
        <v>3</v>
      </c>
      <c r="J10" s="9">
        <v>2363717</v>
      </c>
      <c r="K10" s="10" t="s">
        <v>25</v>
      </c>
      <c r="L10" s="11">
        <v>1</v>
      </c>
      <c r="M10" s="12">
        <v>996</v>
      </c>
      <c r="N10" s="10">
        <v>2005</v>
      </c>
      <c r="O10" s="10">
        <v>8</v>
      </c>
      <c r="P10" s="13">
        <f t="shared" si="2"/>
        <v>0.73308399999999996</v>
      </c>
      <c r="Q10" s="9">
        <v>3</v>
      </c>
      <c r="R10" s="14">
        <f t="shared" si="3"/>
        <v>0.74518568000000007</v>
      </c>
      <c r="S10" s="1"/>
      <c r="T10" s="1" t="s">
        <v>47</v>
      </c>
      <c r="U10" s="14">
        <f>MEDIAN($P$2:$P$147)</f>
        <v>0.92006829726492956</v>
      </c>
      <c r="V10" s="19">
        <f>MEDIAN($R$2:$R$147)</f>
        <v>0.93481347594603736</v>
      </c>
      <c r="W10" s="1">
        <f>(AH2/V10)*100</f>
        <v>11.245600438071866</v>
      </c>
      <c r="X10" s="1" t="s">
        <v>48</v>
      </c>
      <c r="Y10" s="1"/>
      <c r="Z10" s="1"/>
      <c r="AA10" s="1"/>
      <c r="AB10" s="1"/>
      <c r="AC10" s="1"/>
      <c r="AD10" s="1"/>
      <c r="AE10" s="1"/>
      <c r="AF10" s="1"/>
      <c r="AG10" s="14">
        <f t="shared" si="0"/>
        <v>0.18962779594603729</v>
      </c>
      <c r="AH10" s="1"/>
      <c r="AI10" s="1"/>
    </row>
    <row r="11" spans="1:35" x14ac:dyDescent="0.25">
      <c r="A11" s="5" t="s">
        <v>49</v>
      </c>
      <c r="B11" s="5" t="s">
        <v>50</v>
      </c>
      <c r="C11" s="6">
        <v>45428</v>
      </c>
      <c r="D11" s="7">
        <v>205500</v>
      </c>
      <c r="E11" s="7">
        <v>199380</v>
      </c>
      <c r="F11" s="7">
        <v>26775</v>
      </c>
      <c r="G11" s="7">
        <v>155393</v>
      </c>
      <c r="H11" s="8">
        <f t="shared" si="1"/>
        <v>158500.85999999999</v>
      </c>
      <c r="I11" s="9">
        <v>1</v>
      </c>
      <c r="J11" s="9">
        <v>5191758</v>
      </c>
      <c r="K11" s="10" t="s">
        <v>51</v>
      </c>
      <c r="L11" s="11">
        <v>0.17</v>
      </c>
      <c r="M11" s="12">
        <v>728</v>
      </c>
      <c r="N11" s="10">
        <v>1932</v>
      </c>
      <c r="O11" s="10">
        <v>28</v>
      </c>
      <c r="P11" s="13">
        <f t="shared" si="2"/>
        <v>0.91367238439161402</v>
      </c>
      <c r="Q11" s="9">
        <v>2.5</v>
      </c>
      <c r="R11" s="14">
        <f t="shared" si="3"/>
        <v>0.92926000601865777</v>
      </c>
      <c r="S11" s="1"/>
      <c r="T11" s="1" t="s">
        <v>52</v>
      </c>
      <c r="U11" s="1">
        <f>ROUND(MAX($U$2:$U$7)*MAX($W$2:$W$6)*MAX($Z$2:$Z$7)*MAX($AC$2:$AC$7),4)</f>
        <v>1.02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4">
        <f t="shared" si="0"/>
        <v>5.5534699273795951E-3</v>
      </c>
      <c r="AH11" s="1"/>
      <c r="AI11" s="1"/>
    </row>
    <row r="12" spans="1:35" x14ac:dyDescent="0.25">
      <c r="A12" s="5" t="s">
        <v>53</v>
      </c>
      <c r="B12" s="5" t="s">
        <v>54</v>
      </c>
      <c r="C12" s="6">
        <v>45616</v>
      </c>
      <c r="D12" s="7">
        <v>240000</v>
      </c>
      <c r="E12" s="7">
        <v>231600</v>
      </c>
      <c r="F12" s="7">
        <v>41000</v>
      </c>
      <c r="G12" s="7">
        <v>168614</v>
      </c>
      <c r="H12" s="8">
        <f t="shared" si="1"/>
        <v>171986.28</v>
      </c>
      <c r="I12" s="9">
        <v>2</v>
      </c>
      <c r="J12" s="9">
        <v>6353510</v>
      </c>
      <c r="K12" s="10" t="s">
        <v>55</v>
      </c>
      <c r="L12" s="11">
        <v>0.15</v>
      </c>
      <c r="M12" s="12">
        <v>1084</v>
      </c>
      <c r="N12" s="10">
        <v>1915</v>
      </c>
      <c r="O12" s="10">
        <v>18</v>
      </c>
      <c r="P12" s="13">
        <f t="shared" si="2"/>
        <v>0.90506908462867008</v>
      </c>
      <c r="Q12" s="9">
        <v>3</v>
      </c>
      <c r="R12" s="14">
        <f t="shared" si="3"/>
        <v>0.91962987910189986</v>
      </c>
      <c r="S12" s="1"/>
      <c r="T12" s="20" t="s">
        <v>56</v>
      </c>
      <c r="U12" s="21"/>
      <c r="V12" s="21"/>
      <c r="W12" s="22"/>
      <c r="X12" s="23"/>
      <c r="Y12" s="20" t="s">
        <v>57</v>
      </c>
      <c r="Z12" s="21"/>
      <c r="AA12" s="21"/>
      <c r="AB12" s="22"/>
      <c r="AC12" s="1"/>
      <c r="AD12" s="1"/>
      <c r="AE12" s="1"/>
      <c r="AF12" s="1"/>
      <c r="AG12" s="14">
        <f t="shared" si="0"/>
        <v>1.5183596844137504E-2</v>
      </c>
      <c r="AH12" s="1"/>
      <c r="AI12" s="1"/>
    </row>
    <row r="13" spans="1:35" x14ac:dyDescent="0.25">
      <c r="A13" s="5" t="s">
        <v>58</v>
      </c>
      <c r="B13" s="5" t="s">
        <v>59</v>
      </c>
      <c r="C13" s="6">
        <v>45366</v>
      </c>
      <c r="D13" s="7">
        <v>378000</v>
      </c>
      <c r="E13" s="7">
        <v>378000</v>
      </c>
      <c r="F13" s="7">
        <v>53250</v>
      </c>
      <c r="G13" s="7">
        <v>236866</v>
      </c>
      <c r="H13" s="8">
        <f t="shared" si="1"/>
        <v>241603.32</v>
      </c>
      <c r="I13" s="9">
        <v>2</v>
      </c>
      <c r="J13" s="9">
        <v>5253678</v>
      </c>
      <c r="K13" s="10" t="s">
        <v>60</v>
      </c>
      <c r="L13" s="11">
        <v>5</v>
      </c>
      <c r="M13" s="12">
        <v>1702</v>
      </c>
      <c r="N13" s="10">
        <v>2020</v>
      </c>
      <c r="O13" s="10">
        <v>2</v>
      </c>
      <c r="P13" s="13">
        <f t="shared" si="2"/>
        <v>0.76750264550264546</v>
      </c>
      <c r="Q13" s="9">
        <v>3</v>
      </c>
      <c r="R13" s="14">
        <f t="shared" si="3"/>
        <v>0.78003523809523811</v>
      </c>
      <c r="S13" s="1"/>
      <c r="T13" s="15" t="s">
        <v>61</v>
      </c>
      <c r="U13" s="16"/>
      <c r="V13" s="16"/>
      <c r="W13" s="24" t="s">
        <v>62</v>
      </c>
      <c r="X13" s="1"/>
      <c r="Y13" s="15" t="s">
        <v>61</v>
      </c>
      <c r="Z13" s="16"/>
      <c r="AA13" s="16"/>
      <c r="AB13" s="24" t="s">
        <v>62</v>
      </c>
      <c r="AC13" s="1"/>
      <c r="AD13" s="1"/>
      <c r="AE13" s="1"/>
      <c r="AF13" s="1"/>
      <c r="AG13" s="14">
        <f t="shared" si="0"/>
        <v>0.15477823785079925</v>
      </c>
      <c r="AH13" s="1"/>
      <c r="AI13" s="1"/>
    </row>
    <row r="14" spans="1:35" x14ac:dyDescent="0.25">
      <c r="A14" s="5" t="s">
        <v>63</v>
      </c>
      <c r="B14" s="5" t="s">
        <v>64</v>
      </c>
      <c r="C14" s="6">
        <v>45447</v>
      </c>
      <c r="D14" s="7">
        <v>240000</v>
      </c>
      <c r="E14" s="7">
        <v>240000</v>
      </c>
      <c r="F14" s="7">
        <v>74000</v>
      </c>
      <c r="G14" s="7">
        <v>112286</v>
      </c>
      <c r="H14" s="8">
        <f t="shared" si="1"/>
        <v>114531.72</v>
      </c>
      <c r="I14" s="9">
        <v>3</v>
      </c>
      <c r="J14" s="9">
        <v>1211575</v>
      </c>
      <c r="K14" s="10" t="s">
        <v>25</v>
      </c>
      <c r="L14" s="11">
        <v>5</v>
      </c>
      <c r="M14" s="12">
        <v>864</v>
      </c>
      <c r="N14" s="10">
        <v>1983</v>
      </c>
      <c r="O14" s="10">
        <v>17</v>
      </c>
      <c r="P14" s="13">
        <f t="shared" si="2"/>
        <v>0.77619166666666661</v>
      </c>
      <c r="Q14" s="9">
        <v>3</v>
      </c>
      <c r="R14" s="14">
        <f t="shared" si="3"/>
        <v>0.78554883333333336</v>
      </c>
      <c r="S14" s="1"/>
      <c r="T14" s="15" t="s">
        <v>65</v>
      </c>
      <c r="U14" s="16">
        <v>0</v>
      </c>
      <c r="V14" s="16">
        <v>1939</v>
      </c>
      <c r="W14" s="24">
        <f t="shared" ref="W14:W19" si="4">ROUND(AVERAGEIFS($R$2:$R$147,$N$2:$N$147,"&gt;="&amp;U14,$N$2:$N$147,"&lt;="&amp;V14),4)</f>
        <v>0.93669999999999998</v>
      </c>
      <c r="X14" s="1"/>
      <c r="Y14" s="15" t="s">
        <v>66</v>
      </c>
      <c r="Z14" s="16">
        <v>0</v>
      </c>
      <c r="AA14" s="16">
        <v>1000</v>
      </c>
      <c r="AB14" s="24">
        <f t="shared" ref="AB14:AB19" si="5">ROUND(AVERAGEIFS($R$2:$R$147,$M$2:$M$147,"&gt;="&amp;Z14,$M$2:$M$147,"&lt;="&amp;AA14),4)</f>
        <v>0.8337</v>
      </c>
      <c r="AC14" s="1"/>
      <c r="AD14" s="1"/>
      <c r="AE14" s="1"/>
      <c r="AF14" s="1"/>
      <c r="AG14" s="14">
        <f t="shared" si="0"/>
        <v>0.149264642612704</v>
      </c>
      <c r="AH14" s="1"/>
      <c r="AI14" s="1"/>
    </row>
    <row r="15" spans="1:35" x14ac:dyDescent="0.25">
      <c r="A15" s="5" t="s">
        <v>67</v>
      </c>
      <c r="B15" s="5" t="s">
        <v>68</v>
      </c>
      <c r="C15" s="6">
        <v>45588</v>
      </c>
      <c r="D15" s="7">
        <v>290000</v>
      </c>
      <c r="E15" s="7">
        <v>290000</v>
      </c>
      <c r="F15" s="7">
        <v>45900</v>
      </c>
      <c r="G15" s="7">
        <v>182573</v>
      </c>
      <c r="H15" s="8">
        <f t="shared" si="1"/>
        <v>186224.46</v>
      </c>
      <c r="I15" s="9">
        <v>2</v>
      </c>
      <c r="J15" s="9">
        <v>8153582</v>
      </c>
      <c r="K15" s="10" t="s">
        <v>55</v>
      </c>
      <c r="L15" s="11">
        <v>1</v>
      </c>
      <c r="M15" s="12">
        <v>1400</v>
      </c>
      <c r="N15" s="10">
        <v>1979</v>
      </c>
      <c r="O15" s="10">
        <v>18</v>
      </c>
      <c r="P15" s="13">
        <f t="shared" si="2"/>
        <v>0.78783793103448274</v>
      </c>
      <c r="Q15" s="9">
        <v>3</v>
      </c>
      <c r="R15" s="14">
        <f t="shared" si="3"/>
        <v>0.80042917241379308</v>
      </c>
      <c r="S15" s="1"/>
      <c r="T15" s="15" t="s">
        <v>69</v>
      </c>
      <c r="U15" s="16">
        <v>1940</v>
      </c>
      <c r="V15" s="16">
        <v>1969</v>
      </c>
      <c r="W15" s="24">
        <f t="shared" si="4"/>
        <v>0.89119999999999999</v>
      </c>
      <c r="X15" s="1"/>
      <c r="Y15" s="15" t="s">
        <v>70</v>
      </c>
      <c r="Z15" s="16">
        <v>1001</v>
      </c>
      <c r="AA15" s="16">
        <v>1300</v>
      </c>
      <c r="AB15" s="24">
        <f t="shared" si="5"/>
        <v>0.93779999999999997</v>
      </c>
      <c r="AC15" s="1"/>
      <c r="AD15" s="1"/>
      <c r="AE15" s="1"/>
      <c r="AF15" s="1"/>
      <c r="AG15" s="14">
        <f t="shared" si="0"/>
        <v>0.13438430353224429</v>
      </c>
      <c r="AH15" s="1"/>
      <c r="AI15" s="1"/>
    </row>
    <row r="16" spans="1:35" x14ac:dyDescent="0.25">
      <c r="A16" s="5" t="s">
        <v>71</v>
      </c>
      <c r="B16" s="5" t="s">
        <v>72</v>
      </c>
      <c r="C16" s="6">
        <v>45627</v>
      </c>
      <c r="D16" s="7">
        <v>165000</v>
      </c>
      <c r="E16" s="7">
        <v>165000</v>
      </c>
      <c r="F16" s="7">
        <v>35430</v>
      </c>
      <c r="G16" s="7">
        <v>96924</v>
      </c>
      <c r="H16" s="8">
        <f t="shared" si="1"/>
        <v>98862.48</v>
      </c>
      <c r="I16" s="9">
        <v>4</v>
      </c>
      <c r="J16" s="9">
        <v>6111718</v>
      </c>
      <c r="K16" s="10" t="s">
        <v>73</v>
      </c>
      <c r="L16" s="11">
        <v>1.27</v>
      </c>
      <c r="M16" s="12">
        <v>1108</v>
      </c>
      <c r="N16" s="10">
        <v>1952</v>
      </c>
      <c r="O16" s="10">
        <v>28</v>
      </c>
      <c r="P16" s="13">
        <f t="shared" si="2"/>
        <v>0.80214545454545449</v>
      </c>
      <c r="Q16" s="9">
        <v>2.5</v>
      </c>
      <c r="R16" s="14">
        <f t="shared" si="3"/>
        <v>0.81389381818181805</v>
      </c>
      <c r="S16" s="1"/>
      <c r="T16" s="15" t="s">
        <v>74</v>
      </c>
      <c r="U16" s="16">
        <v>1970</v>
      </c>
      <c r="V16" s="16">
        <v>1989</v>
      </c>
      <c r="W16" s="24">
        <f t="shared" si="4"/>
        <v>0.93920000000000003</v>
      </c>
      <c r="X16" s="1"/>
      <c r="Y16" s="15" t="s">
        <v>75</v>
      </c>
      <c r="Z16" s="16">
        <v>1301</v>
      </c>
      <c r="AA16" s="16">
        <v>1600</v>
      </c>
      <c r="AB16" s="24">
        <f t="shared" si="5"/>
        <v>0.93389999999999995</v>
      </c>
      <c r="AC16" s="23"/>
      <c r="AD16" s="1"/>
      <c r="AE16" s="1"/>
      <c r="AF16" s="1"/>
      <c r="AG16" s="14">
        <f t="shared" si="0"/>
        <v>0.12091965776421931</v>
      </c>
      <c r="AH16" s="1"/>
      <c r="AI16" s="1"/>
    </row>
    <row r="17" spans="1:35" x14ac:dyDescent="0.25">
      <c r="A17" s="5" t="s">
        <v>76</v>
      </c>
      <c r="B17" s="5" t="s">
        <v>77</v>
      </c>
      <c r="C17" s="6">
        <v>45492</v>
      </c>
      <c r="D17" s="7">
        <v>1050000</v>
      </c>
      <c r="E17" s="7">
        <v>1050000</v>
      </c>
      <c r="F17" s="7">
        <v>38800</v>
      </c>
      <c r="G17" s="7">
        <v>723220</v>
      </c>
      <c r="H17" s="8">
        <f t="shared" si="1"/>
        <v>737684.4</v>
      </c>
      <c r="I17" s="9">
        <v>2</v>
      </c>
      <c r="J17" s="9">
        <v>3211548</v>
      </c>
      <c r="K17" s="10" t="s">
        <v>78</v>
      </c>
      <c r="L17" s="11">
        <v>8.4600000000000009</v>
      </c>
      <c r="M17" s="12">
        <v>3754</v>
      </c>
      <c r="N17" s="10">
        <v>2014</v>
      </c>
      <c r="O17" s="10">
        <v>4</v>
      </c>
      <c r="P17" s="13">
        <f t="shared" si="2"/>
        <v>0.72573333333333334</v>
      </c>
      <c r="Q17" s="9">
        <v>4</v>
      </c>
      <c r="R17" s="14">
        <f t="shared" si="3"/>
        <v>0.73950895238095238</v>
      </c>
      <c r="S17" s="1"/>
      <c r="T17" s="15" t="s">
        <v>79</v>
      </c>
      <c r="U17" s="16">
        <v>1990</v>
      </c>
      <c r="V17" s="16">
        <v>2009</v>
      </c>
      <c r="W17" s="24">
        <f t="shared" si="4"/>
        <v>0.94730000000000003</v>
      </c>
      <c r="X17" s="1"/>
      <c r="Y17" s="15" t="s">
        <v>80</v>
      </c>
      <c r="Z17" s="16">
        <v>1601</v>
      </c>
      <c r="AA17" s="16">
        <v>2000</v>
      </c>
      <c r="AB17" s="24">
        <f t="shared" si="5"/>
        <v>0.89559999999999995</v>
      </c>
      <c r="AC17" s="1"/>
      <c r="AD17" s="1"/>
      <c r="AE17" s="1"/>
      <c r="AF17" s="1"/>
      <c r="AG17" s="14">
        <f t="shared" si="0"/>
        <v>0.19530452356508499</v>
      </c>
      <c r="AH17" s="1"/>
      <c r="AI17" s="1"/>
    </row>
    <row r="18" spans="1:35" x14ac:dyDescent="0.25">
      <c r="A18" s="5" t="s">
        <v>81</v>
      </c>
      <c r="B18" s="5" t="s">
        <v>82</v>
      </c>
      <c r="C18" s="6">
        <v>45457</v>
      </c>
      <c r="D18" s="7">
        <v>335000</v>
      </c>
      <c r="E18" s="7">
        <v>330000</v>
      </c>
      <c r="F18" s="7">
        <v>42162</v>
      </c>
      <c r="G18" s="7">
        <v>227036</v>
      </c>
      <c r="H18" s="8">
        <f t="shared" si="1"/>
        <v>231576.72</v>
      </c>
      <c r="I18" s="9">
        <v>1</v>
      </c>
      <c r="J18" s="9">
        <v>2173157</v>
      </c>
      <c r="K18" s="10" t="s">
        <v>43</v>
      </c>
      <c r="L18" s="11">
        <v>0.21</v>
      </c>
      <c r="M18" s="12">
        <v>864</v>
      </c>
      <c r="N18" s="10">
        <v>1977</v>
      </c>
      <c r="O18" s="10">
        <v>14</v>
      </c>
      <c r="P18" s="13">
        <f t="shared" si="2"/>
        <v>0.81575151515151512</v>
      </c>
      <c r="Q18" s="9">
        <v>3</v>
      </c>
      <c r="R18" s="14">
        <f t="shared" si="3"/>
        <v>0.82951127272727265</v>
      </c>
      <c r="S18" s="1"/>
      <c r="T18" s="15" t="s">
        <v>83</v>
      </c>
      <c r="U18" s="16">
        <v>2010</v>
      </c>
      <c r="V18" s="16">
        <v>2019</v>
      </c>
      <c r="W18" s="24">
        <f t="shared" si="4"/>
        <v>0.93469999999999998</v>
      </c>
      <c r="X18" s="1"/>
      <c r="Y18" s="15" t="s">
        <v>84</v>
      </c>
      <c r="Z18" s="16">
        <v>2001</v>
      </c>
      <c r="AA18" s="16">
        <v>3000</v>
      </c>
      <c r="AB18" s="24">
        <f t="shared" si="5"/>
        <v>1.0123</v>
      </c>
      <c r="AC18" s="1"/>
      <c r="AD18" s="1"/>
      <c r="AE18" s="1"/>
      <c r="AF18" s="1"/>
      <c r="AG18" s="14">
        <f t="shared" si="0"/>
        <v>0.10530220321876471</v>
      </c>
      <c r="AH18" s="1"/>
      <c r="AI18" s="1"/>
    </row>
    <row r="19" spans="1:35" x14ac:dyDescent="0.25">
      <c r="A19" s="5" t="s">
        <v>85</v>
      </c>
      <c r="B19" s="5" t="s">
        <v>86</v>
      </c>
      <c r="C19" s="6">
        <v>45450</v>
      </c>
      <c r="D19" s="7">
        <v>345000</v>
      </c>
      <c r="E19" s="7">
        <v>345000</v>
      </c>
      <c r="F19" s="7">
        <v>74000</v>
      </c>
      <c r="G19" s="7">
        <v>255736</v>
      </c>
      <c r="H19" s="8">
        <f t="shared" si="1"/>
        <v>260850.72</v>
      </c>
      <c r="I19" s="9">
        <v>3</v>
      </c>
      <c r="J19" s="9">
        <v>1211575</v>
      </c>
      <c r="K19" s="10" t="s">
        <v>25</v>
      </c>
      <c r="L19" s="11">
        <v>5</v>
      </c>
      <c r="M19" s="12">
        <v>1728</v>
      </c>
      <c r="N19" s="10">
        <v>1999</v>
      </c>
      <c r="O19" s="10">
        <v>10</v>
      </c>
      <c r="P19" s="13">
        <f t="shared" si="2"/>
        <v>0.95575652173913039</v>
      </c>
      <c r="Q19" s="9">
        <v>3</v>
      </c>
      <c r="R19" s="14">
        <f t="shared" si="3"/>
        <v>0.97058179710144921</v>
      </c>
      <c r="S19" s="1"/>
      <c r="T19" s="17" t="s">
        <v>87</v>
      </c>
      <c r="U19" s="18">
        <v>2020</v>
      </c>
      <c r="V19" s="18">
        <v>2025</v>
      </c>
      <c r="W19" s="25">
        <f t="shared" si="4"/>
        <v>0.75619999999999998</v>
      </c>
      <c r="X19" s="1"/>
      <c r="Y19" s="17" t="s">
        <v>88</v>
      </c>
      <c r="Z19" s="18">
        <v>3001</v>
      </c>
      <c r="AA19" s="18">
        <v>10000</v>
      </c>
      <c r="AB19" s="25">
        <f t="shared" si="5"/>
        <v>0.9093</v>
      </c>
      <c r="AC19" s="1"/>
      <c r="AD19" s="1"/>
      <c r="AE19" s="1"/>
      <c r="AF19" s="1"/>
      <c r="AG19" s="14">
        <f t="shared" si="0"/>
        <v>3.5768321155411842E-2</v>
      </c>
      <c r="AH19" s="1"/>
      <c r="AI19" s="1"/>
    </row>
    <row r="20" spans="1:35" x14ac:dyDescent="0.25">
      <c r="A20" s="5" t="s">
        <v>89</v>
      </c>
      <c r="B20" s="5" t="s">
        <v>90</v>
      </c>
      <c r="C20" s="6">
        <v>45415</v>
      </c>
      <c r="D20" s="7">
        <v>322000</v>
      </c>
      <c r="E20" s="7">
        <v>322000</v>
      </c>
      <c r="F20" s="7">
        <v>56500</v>
      </c>
      <c r="G20" s="7">
        <v>215231</v>
      </c>
      <c r="H20" s="8">
        <f t="shared" si="1"/>
        <v>219535.62</v>
      </c>
      <c r="I20" s="9">
        <v>3</v>
      </c>
      <c r="J20" s="9">
        <v>6322246</v>
      </c>
      <c r="K20" s="10" t="s">
        <v>91</v>
      </c>
      <c r="L20" s="11">
        <v>10</v>
      </c>
      <c r="M20" s="12">
        <v>1365</v>
      </c>
      <c r="N20" s="10">
        <v>1984</v>
      </c>
      <c r="O20" s="10">
        <v>16</v>
      </c>
      <c r="P20" s="13">
        <f t="shared" si="2"/>
        <v>0.84388509316770188</v>
      </c>
      <c r="Q20" s="9">
        <v>3</v>
      </c>
      <c r="R20" s="14">
        <f t="shared" si="3"/>
        <v>0.85725347826086951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4">
        <f t="shared" si="0"/>
        <v>7.7559997685167859E-2</v>
      </c>
      <c r="AH20" s="1"/>
      <c r="AI20" s="1"/>
    </row>
    <row r="21" spans="1:35" x14ac:dyDescent="0.25">
      <c r="A21" s="5" t="s">
        <v>92</v>
      </c>
      <c r="B21" s="5" t="s">
        <v>93</v>
      </c>
      <c r="C21" s="6">
        <v>45489</v>
      </c>
      <c r="D21" s="7">
        <v>288000</v>
      </c>
      <c r="E21" s="7">
        <v>288000</v>
      </c>
      <c r="F21" s="7">
        <v>54584</v>
      </c>
      <c r="G21" s="7">
        <v>184078</v>
      </c>
      <c r="H21" s="8">
        <f t="shared" si="1"/>
        <v>187759.56</v>
      </c>
      <c r="I21" s="9">
        <v>2</v>
      </c>
      <c r="J21" s="9">
        <v>6353519</v>
      </c>
      <c r="K21" s="10" t="s">
        <v>55</v>
      </c>
      <c r="L21" s="11">
        <v>0.21</v>
      </c>
      <c r="M21" s="12">
        <v>1122</v>
      </c>
      <c r="N21" s="10">
        <v>1983</v>
      </c>
      <c r="O21" s="10">
        <v>17</v>
      </c>
      <c r="P21" s="13">
        <f t="shared" si="2"/>
        <v>0.82868750000000002</v>
      </c>
      <c r="Q21" s="9">
        <v>3</v>
      </c>
      <c r="R21" s="14">
        <f t="shared" si="3"/>
        <v>0.84147069444444444</v>
      </c>
      <c r="S21" s="1"/>
      <c r="T21" s="20" t="s">
        <v>94</v>
      </c>
      <c r="U21" s="21"/>
      <c r="V21" s="21"/>
      <c r="W21" s="22"/>
      <c r="X21" s="1"/>
      <c r="Y21" s="20" t="s">
        <v>95</v>
      </c>
      <c r="Z21" s="21"/>
      <c r="AA21" s="21"/>
      <c r="AB21" s="22"/>
      <c r="AC21" s="1"/>
      <c r="AD21" s="1"/>
      <c r="AE21" s="1"/>
      <c r="AF21" s="1"/>
      <c r="AG21" s="14">
        <f t="shared" si="0"/>
        <v>9.334278150159292E-2</v>
      </c>
      <c r="AH21" s="1"/>
      <c r="AI21" s="1"/>
    </row>
    <row r="22" spans="1:35" x14ac:dyDescent="0.25">
      <c r="A22" s="5" t="s">
        <v>96</v>
      </c>
      <c r="B22" s="5" t="s">
        <v>97</v>
      </c>
      <c r="C22" s="6">
        <v>45440</v>
      </c>
      <c r="D22" s="7">
        <v>89000</v>
      </c>
      <c r="E22" s="7">
        <v>89000</v>
      </c>
      <c r="F22" s="7">
        <v>30000</v>
      </c>
      <c r="G22" s="7">
        <v>44047</v>
      </c>
      <c r="H22" s="8">
        <f t="shared" si="1"/>
        <v>44927.94</v>
      </c>
      <c r="I22" s="9">
        <v>4</v>
      </c>
      <c r="J22" s="9">
        <v>7173513</v>
      </c>
      <c r="K22" s="10" t="s">
        <v>32</v>
      </c>
      <c r="L22" s="11">
        <v>10</v>
      </c>
      <c r="M22" s="12">
        <v>209</v>
      </c>
      <c r="N22" s="10">
        <v>2007</v>
      </c>
      <c r="O22" s="10">
        <v>7</v>
      </c>
      <c r="P22" s="13">
        <f t="shared" si="2"/>
        <v>0.83198876404494382</v>
      </c>
      <c r="Q22" s="9">
        <v>3</v>
      </c>
      <c r="R22" s="14">
        <f t="shared" si="3"/>
        <v>0.84188696629213489</v>
      </c>
      <c r="S22" s="1"/>
      <c r="T22" s="15" t="s">
        <v>61</v>
      </c>
      <c r="U22" s="16"/>
      <c r="V22" s="16"/>
      <c r="W22" s="24" t="s">
        <v>62</v>
      </c>
      <c r="X22" s="1"/>
      <c r="Y22" s="15" t="s">
        <v>61</v>
      </c>
      <c r="Z22" s="16"/>
      <c r="AA22" s="16"/>
      <c r="AB22" s="24" t="s">
        <v>62</v>
      </c>
      <c r="AC22" s="1"/>
      <c r="AD22" s="1"/>
      <c r="AE22" s="1"/>
      <c r="AF22" s="26"/>
      <c r="AG22" s="14">
        <f t="shared" si="0"/>
        <v>9.2926509653902478E-2</v>
      </c>
      <c r="AH22" s="1"/>
      <c r="AI22" s="1"/>
    </row>
    <row r="23" spans="1:35" x14ac:dyDescent="0.25">
      <c r="A23" s="5" t="s">
        <v>98</v>
      </c>
      <c r="B23" s="5" t="s">
        <v>99</v>
      </c>
      <c r="C23" s="6">
        <v>45356</v>
      </c>
      <c r="D23" s="7">
        <v>425000</v>
      </c>
      <c r="E23" s="7">
        <v>415000</v>
      </c>
      <c r="F23" s="7">
        <v>49879</v>
      </c>
      <c r="G23" s="7">
        <v>349669</v>
      </c>
      <c r="H23" s="8">
        <f t="shared" si="1"/>
        <v>356662.38</v>
      </c>
      <c r="I23" s="9">
        <v>1</v>
      </c>
      <c r="J23" s="9">
        <v>2173157</v>
      </c>
      <c r="K23" s="10" t="s">
        <v>43</v>
      </c>
      <c r="L23" s="11">
        <v>0.46</v>
      </c>
      <c r="M23" s="12">
        <v>2021</v>
      </c>
      <c r="N23" s="10">
        <v>1980</v>
      </c>
      <c r="O23" s="10">
        <v>18</v>
      </c>
      <c r="P23" s="13">
        <f t="shared" si="2"/>
        <v>0.96276626506024099</v>
      </c>
      <c r="Q23" s="9">
        <v>3</v>
      </c>
      <c r="R23" s="14">
        <f t="shared" si="3"/>
        <v>0.97961778313253012</v>
      </c>
      <c r="S23" s="1"/>
      <c r="T23" s="15">
        <v>1</v>
      </c>
      <c r="U23" s="16">
        <v>1</v>
      </c>
      <c r="V23" s="16">
        <v>1</v>
      </c>
      <c r="W23" s="24" t="e">
        <f t="shared" ref="W23:W28" si="6">ROUND(AVERAGEIFS($R$2:$R$147,$Q$2:$Q$147,"&gt;="&amp;U23,$Q$2:$Q$147,"&lt;="&amp;V23),4)</f>
        <v>#DIV/0!</v>
      </c>
      <c r="X23" s="1">
        <f>COUNTIF($Q$2:$Q$431,T23)</f>
        <v>0</v>
      </c>
      <c r="Y23" s="15">
        <v>1</v>
      </c>
      <c r="Z23" s="16">
        <v>1</v>
      </c>
      <c r="AA23" s="16">
        <v>1</v>
      </c>
      <c r="AB23" s="24">
        <f>ROUND(AVERAGEIFS($R$2:$R$147,$I$2:$I$147,"&gt;="&amp;Z23,$I$2:$I$147,"&lt;="&amp;AA23),4)</f>
        <v>0.91830000000000001</v>
      </c>
      <c r="AC23" s="1">
        <f>COUNTIF($I$2:$I$569,Y23)</f>
        <v>28</v>
      </c>
      <c r="AD23" s="1"/>
      <c r="AE23" s="1"/>
      <c r="AF23" s="1"/>
      <c r="AG23" s="14">
        <f t="shared" si="0"/>
        <v>4.4804307186492753E-2</v>
      </c>
      <c r="AH23" s="1"/>
      <c r="AI23" s="1"/>
    </row>
    <row r="24" spans="1:35" x14ac:dyDescent="0.25">
      <c r="A24" s="5" t="s">
        <v>100</v>
      </c>
      <c r="B24" s="5" t="s">
        <v>101</v>
      </c>
      <c r="C24" s="6">
        <v>45617</v>
      </c>
      <c r="D24" s="7">
        <v>295000</v>
      </c>
      <c r="E24" s="7">
        <v>291000</v>
      </c>
      <c r="F24" s="7">
        <v>44200</v>
      </c>
      <c r="G24" s="7">
        <v>207885</v>
      </c>
      <c r="H24" s="8">
        <f t="shared" si="1"/>
        <v>212042.7</v>
      </c>
      <c r="I24" s="9">
        <v>2</v>
      </c>
      <c r="J24" s="9">
        <v>6353510</v>
      </c>
      <c r="K24" s="10" t="s">
        <v>55</v>
      </c>
      <c r="L24" s="11">
        <v>0.17</v>
      </c>
      <c r="M24" s="12">
        <v>1134</v>
      </c>
      <c r="N24" s="10">
        <v>1978</v>
      </c>
      <c r="O24" s="10">
        <v>18</v>
      </c>
      <c r="P24" s="13">
        <f t="shared" si="2"/>
        <v>0.8662714776632302</v>
      </c>
      <c r="Q24" s="9">
        <v>3</v>
      </c>
      <c r="R24" s="14">
        <f t="shared" si="3"/>
        <v>0.88055910652920966</v>
      </c>
      <c r="S24" s="1"/>
      <c r="T24" s="15">
        <v>2</v>
      </c>
      <c r="U24" s="16">
        <v>2</v>
      </c>
      <c r="V24" s="16">
        <v>2</v>
      </c>
      <c r="W24" s="24">
        <f t="shared" si="6"/>
        <v>0.98829999999999996</v>
      </c>
      <c r="X24" s="1">
        <f t="shared" ref="X24:X28" si="7">COUNTIF($Q$2:$Q$431,T24)</f>
        <v>1</v>
      </c>
      <c r="Y24" s="15">
        <v>2</v>
      </c>
      <c r="Z24" s="16">
        <v>2</v>
      </c>
      <c r="AA24" s="16">
        <v>2</v>
      </c>
      <c r="AB24" s="24">
        <f>ROUND(AVERAGEIFS($R$2:$R$147,$I$2:$I$147,"&gt;="&amp;Z24,$I$2:$I$147,"&lt;="&amp;AA24),4)</f>
        <v>0.96860000000000002</v>
      </c>
      <c r="AC24" s="1">
        <f t="shared" ref="AC24:AC27" si="8">COUNTIF($I$2:$I$569,Y24)</f>
        <v>68</v>
      </c>
      <c r="AD24" s="1"/>
      <c r="AE24" s="1"/>
      <c r="AF24" s="1"/>
      <c r="AG24" s="14">
        <f t="shared" si="0"/>
        <v>5.4254369416827708E-2</v>
      </c>
      <c r="AH24" s="1"/>
      <c r="AI24" s="1"/>
    </row>
    <row r="25" spans="1:35" x14ac:dyDescent="0.25">
      <c r="A25" s="5" t="s">
        <v>102</v>
      </c>
      <c r="B25" s="5" t="s">
        <v>103</v>
      </c>
      <c r="C25" s="6">
        <v>45470</v>
      </c>
      <c r="D25" s="7">
        <v>280000</v>
      </c>
      <c r="E25" s="7">
        <v>276000</v>
      </c>
      <c r="F25" s="7">
        <v>50600</v>
      </c>
      <c r="G25" s="7">
        <v>195173</v>
      </c>
      <c r="H25" s="8">
        <f t="shared" si="1"/>
        <v>199076.46</v>
      </c>
      <c r="I25" s="9">
        <v>2</v>
      </c>
      <c r="J25" s="9">
        <v>6353510</v>
      </c>
      <c r="K25" s="10" t="s">
        <v>55</v>
      </c>
      <c r="L25" s="11">
        <v>0.21</v>
      </c>
      <c r="M25" s="12">
        <v>960</v>
      </c>
      <c r="N25" s="10">
        <v>1975</v>
      </c>
      <c r="O25" s="10">
        <v>20</v>
      </c>
      <c r="P25" s="13">
        <f t="shared" si="2"/>
        <v>0.89048188405797102</v>
      </c>
      <c r="Q25" s="9">
        <v>3</v>
      </c>
      <c r="R25" s="14">
        <f t="shared" si="3"/>
        <v>0.90462485507246371</v>
      </c>
      <c r="S25" s="1"/>
      <c r="T25" s="15">
        <v>2.5</v>
      </c>
      <c r="U25" s="16">
        <v>2.5</v>
      </c>
      <c r="V25" s="16">
        <v>2.5</v>
      </c>
      <c r="W25" s="24">
        <f t="shared" si="6"/>
        <v>0.9627</v>
      </c>
      <c r="X25" s="1">
        <f t="shared" si="7"/>
        <v>9</v>
      </c>
      <c r="Y25" s="15">
        <v>3</v>
      </c>
      <c r="Z25" s="16">
        <v>3</v>
      </c>
      <c r="AA25" s="16">
        <v>3</v>
      </c>
      <c r="AB25" s="24">
        <f>ROUND(AVERAGEIFS($R$2:$R$147,$I$2:$I$147,"&gt;="&amp;Z25,$I$2:$I$147,"&lt;="&amp;AA25),4)</f>
        <v>0.8679</v>
      </c>
      <c r="AC25" s="1">
        <f t="shared" si="8"/>
        <v>24</v>
      </c>
      <c r="AD25" s="1"/>
      <c r="AE25" s="1"/>
      <c r="AF25" s="26"/>
      <c r="AG25" s="14">
        <f t="shared" si="0"/>
        <v>3.0188620873573657E-2</v>
      </c>
      <c r="AH25" s="1"/>
      <c r="AI25" s="1"/>
    </row>
    <row r="26" spans="1:35" x14ac:dyDescent="0.25">
      <c r="A26" s="5" t="s">
        <v>104</v>
      </c>
      <c r="B26" s="5" t="s">
        <v>105</v>
      </c>
      <c r="C26" s="6">
        <v>45309</v>
      </c>
      <c r="D26" s="7">
        <v>275000</v>
      </c>
      <c r="E26" s="7">
        <v>260000</v>
      </c>
      <c r="F26" s="7">
        <v>39400</v>
      </c>
      <c r="G26" s="7">
        <v>182820</v>
      </c>
      <c r="H26" s="8">
        <f t="shared" si="1"/>
        <v>186476.4</v>
      </c>
      <c r="I26" s="9">
        <v>2</v>
      </c>
      <c r="J26" s="9">
        <v>6353510</v>
      </c>
      <c r="K26" s="10" t="s">
        <v>55</v>
      </c>
      <c r="L26" s="11">
        <v>0.14000000000000001</v>
      </c>
      <c r="M26" s="12">
        <v>1175</v>
      </c>
      <c r="N26" s="10">
        <v>1978</v>
      </c>
      <c r="O26" s="10">
        <v>18</v>
      </c>
      <c r="P26" s="13">
        <f t="shared" si="2"/>
        <v>0.85469230769230764</v>
      </c>
      <c r="Q26" s="9">
        <v>3</v>
      </c>
      <c r="R26" s="14">
        <f t="shared" si="3"/>
        <v>0.8687553846153846</v>
      </c>
      <c r="S26" s="1"/>
      <c r="T26" s="15">
        <v>3</v>
      </c>
      <c r="U26" s="16">
        <v>3</v>
      </c>
      <c r="V26" s="16">
        <v>3</v>
      </c>
      <c r="W26" s="24">
        <f t="shared" si="6"/>
        <v>0.91869999999999996</v>
      </c>
      <c r="X26" s="1">
        <f t="shared" si="7"/>
        <v>94</v>
      </c>
      <c r="Y26" s="15">
        <v>4</v>
      </c>
      <c r="Z26" s="16">
        <v>4</v>
      </c>
      <c r="AA26" s="16">
        <v>4</v>
      </c>
      <c r="AB26" s="24">
        <f>ROUND(AVERAGEIFS($R$2:$R$147,$I$2:$I$147,"&gt;="&amp;Z26,$I$2:$I$147,"&lt;="&amp;AA26),4)</f>
        <v>0.78910000000000002</v>
      </c>
      <c r="AC26" s="1">
        <f t="shared" si="8"/>
        <v>14</v>
      </c>
      <c r="AD26" s="1"/>
      <c r="AE26" s="1"/>
      <c r="AF26" s="1"/>
      <c r="AG26" s="14">
        <f t="shared" si="0"/>
        <v>6.6058091330652768E-2</v>
      </c>
      <c r="AH26" s="1"/>
      <c r="AI26" s="1"/>
    </row>
    <row r="27" spans="1:35" x14ac:dyDescent="0.25">
      <c r="A27" s="5" t="s">
        <v>106</v>
      </c>
      <c r="B27" s="5" t="s">
        <v>107</v>
      </c>
      <c r="C27" s="6">
        <v>45294</v>
      </c>
      <c r="D27" s="7">
        <v>485000</v>
      </c>
      <c r="E27" s="7">
        <v>477725</v>
      </c>
      <c r="F27" s="7">
        <v>71625</v>
      </c>
      <c r="G27" s="7">
        <v>286915</v>
      </c>
      <c r="H27" s="8">
        <f t="shared" si="1"/>
        <v>292653.3</v>
      </c>
      <c r="I27" s="9">
        <v>2</v>
      </c>
      <c r="J27" s="9">
        <v>3211518</v>
      </c>
      <c r="K27" s="10" t="s">
        <v>78</v>
      </c>
      <c r="L27" s="11">
        <v>2.54</v>
      </c>
      <c r="M27" s="12">
        <v>1342</v>
      </c>
      <c r="N27" s="10">
        <v>2003</v>
      </c>
      <c r="O27" s="10">
        <v>8</v>
      </c>
      <c r="P27" s="13">
        <f t="shared" si="2"/>
        <v>0.75051546391752577</v>
      </c>
      <c r="Q27" s="9">
        <v>3.5</v>
      </c>
      <c r="R27" s="14">
        <f t="shared" si="3"/>
        <v>0.76252718614265524</v>
      </c>
      <c r="S27" s="1"/>
      <c r="T27" s="15">
        <v>3.5</v>
      </c>
      <c r="U27" s="16">
        <v>3.5</v>
      </c>
      <c r="V27" s="16">
        <v>3.5</v>
      </c>
      <c r="W27" s="24">
        <f t="shared" si="6"/>
        <v>0.9083</v>
      </c>
      <c r="X27" s="1">
        <f t="shared" si="7"/>
        <v>23</v>
      </c>
      <c r="Y27" s="15">
        <v>5</v>
      </c>
      <c r="Z27" s="16">
        <v>5</v>
      </c>
      <c r="AA27" s="16">
        <v>5</v>
      </c>
      <c r="AB27" s="24" t="e">
        <f>ROUND(AVERAGEIFS($R$2:$R$147,$I$2:$I$147,"&gt;="&amp;Z27,$I$2:$I$147,"&lt;="&amp;AA27),4)</f>
        <v>#DIV/0!</v>
      </c>
      <c r="AC27" s="1">
        <f t="shared" si="8"/>
        <v>0</v>
      </c>
      <c r="AD27" s="1"/>
      <c r="AE27" s="1"/>
      <c r="AF27" s="1"/>
      <c r="AG27" s="14">
        <f t="shared" si="0"/>
        <v>0.17228628980338212</v>
      </c>
      <c r="AH27" s="1"/>
      <c r="AI27" s="1"/>
    </row>
    <row r="28" spans="1:35" x14ac:dyDescent="0.25">
      <c r="A28" s="5" t="s">
        <v>108</v>
      </c>
      <c r="B28" s="5" t="s">
        <v>109</v>
      </c>
      <c r="C28" s="6">
        <v>45364</v>
      </c>
      <c r="D28" s="7">
        <v>252500</v>
      </c>
      <c r="E28" s="7">
        <v>252500</v>
      </c>
      <c r="F28" s="7">
        <v>64000</v>
      </c>
      <c r="G28" s="7">
        <v>98848</v>
      </c>
      <c r="H28" s="8">
        <f t="shared" si="1"/>
        <v>100824.96000000001</v>
      </c>
      <c r="I28" s="9">
        <v>4</v>
      </c>
      <c r="J28" s="9">
        <v>5172568</v>
      </c>
      <c r="K28" s="10" t="s">
        <v>110</v>
      </c>
      <c r="L28" s="11">
        <v>10</v>
      </c>
      <c r="M28" s="12">
        <v>1248</v>
      </c>
      <c r="N28" s="10">
        <v>1982</v>
      </c>
      <c r="O28" s="10">
        <v>0</v>
      </c>
      <c r="P28" s="13">
        <f t="shared" si="2"/>
        <v>0.64494257425742574</v>
      </c>
      <c r="Q28" s="9">
        <v>3</v>
      </c>
      <c r="R28" s="14">
        <f t="shared" si="3"/>
        <v>0.65277211881188124</v>
      </c>
      <c r="S28" s="1"/>
      <c r="T28" s="17">
        <v>4</v>
      </c>
      <c r="U28" s="18">
        <v>4</v>
      </c>
      <c r="V28" s="18">
        <v>4</v>
      </c>
      <c r="W28" s="25">
        <f t="shared" si="6"/>
        <v>0.93600000000000005</v>
      </c>
      <c r="X28" s="1">
        <f t="shared" si="7"/>
        <v>7</v>
      </c>
      <c r="Y28" s="17"/>
      <c r="Z28" s="18"/>
      <c r="AA28" s="18"/>
      <c r="AB28" s="25"/>
      <c r="AC28" s="1"/>
      <c r="AD28" s="1"/>
      <c r="AE28" s="1"/>
      <c r="AF28" s="1"/>
      <c r="AG28" s="14">
        <f t="shared" si="0"/>
        <v>0.28204135713415612</v>
      </c>
      <c r="AH28" s="1"/>
      <c r="AI28" s="1"/>
    </row>
    <row r="29" spans="1:35" x14ac:dyDescent="0.25">
      <c r="A29" s="5" t="s">
        <v>111</v>
      </c>
      <c r="B29" s="5" t="s">
        <v>112</v>
      </c>
      <c r="C29" s="6">
        <v>45351</v>
      </c>
      <c r="D29" s="7">
        <v>458000</v>
      </c>
      <c r="E29" s="7">
        <v>458000</v>
      </c>
      <c r="F29" s="7">
        <v>214237</v>
      </c>
      <c r="G29" s="7">
        <v>0</v>
      </c>
      <c r="H29" s="8">
        <f t="shared" si="1"/>
        <v>0</v>
      </c>
      <c r="I29" s="9">
        <v>4</v>
      </c>
      <c r="J29" s="9">
        <v>6111718</v>
      </c>
      <c r="K29" s="10" t="s">
        <v>73</v>
      </c>
      <c r="L29" s="11">
        <v>1.25</v>
      </c>
      <c r="M29" s="12">
        <v>1955</v>
      </c>
      <c r="N29" s="10">
        <v>2023</v>
      </c>
      <c r="O29" s="10">
        <v>1</v>
      </c>
      <c r="P29" s="13">
        <f t="shared" si="2"/>
        <v>0.46776637554585154</v>
      </c>
      <c r="Q29" s="9">
        <v>3</v>
      </c>
      <c r="R29" s="14">
        <f t="shared" si="3"/>
        <v>0.46776637554585154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4">
        <f t="shared" si="0"/>
        <v>0.46704710040018582</v>
      </c>
      <c r="AH29" s="1"/>
      <c r="AI29" s="1"/>
    </row>
    <row r="30" spans="1:35" x14ac:dyDescent="0.25">
      <c r="A30" s="5" t="s">
        <v>113</v>
      </c>
      <c r="B30" s="5" t="s">
        <v>114</v>
      </c>
      <c r="C30" s="6">
        <v>45526</v>
      </c>
      <c r="D30" s="7">
        <v>460000</v>
      </c>
      <c r="E30" s="7">
        <v>460000</v>
      </c>
      <c r="F30" s="7">
        <v>89000</v>
      </c>
      <c r="G30" s="7">
        <v>300369</v>
      </c>
      <c r="H30" s="8">
        <f t="shared" si="1"/>
        <v>306376.38</v>
      </c>
      <c r="I30" s="9">
        <v>3</v>
      </c>
      <c r="J30" s="9">
        <v>6322246</v>
      </c>
      <c r="K30" s="10" t="s">
        <v>91</v>
      </c>
      <c r="L30" s="11">
        <v>10</v>
      </c>
      <c r="M30" s="12">
        <v>1824</v>
      </c>
      <c r="N30" s="10">
        <v>2001</v>
      </c>
      <c r="O30" s="10">
        <v>8</v>
      </c>
      <c r="P30" s="13">
        <f t="shared" si="2"/>
        <v>0.84645434782608697</v>
      </c>
      <c r="Q30" s="9">
        <v>3</v>
      </c>
      <c r="R30" s="14">
        <f t="shared" si="3"/>
        <v>0.85951386956521736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4">
        <f t="shared" si="0"/>
        <v>7.5299606380820006E-2</v>
      </c>
      <c r="AH30" s="1"/>
      <c r="AI30" s="1"/>
    </row>
    <row r="31" spans="1:35" x14ac:dyDescent="0.25">
      <c r="A31" s="5" t="s">
        <v>115</v>
      </c>
      <c r="B31" s="5" t="s">
        <v>116</v>
      </c>
      <c r="C31" s="6">
        <v>45413</v>
      </c>
      <c r="D31" s="7">
        <v>530000</v>
      </c>
      <c r="E31" s="7">
        <v>530000</v>
      </c>
      <c r="F31" s="7">
        <v>71250</v>
      </c>
      <c r="G31" s="7">
        <v>378507</v>
      </c>
      <c r="H31" s="8">
        <f t="shared" si="1"/>
        <v>386077.14</v>
      </c>
      <c r="I31" s="9">
        <v>2</v>
      </c>
      <c r="J31" s="9">
        <v>3211518</v>
      </c>
      <c r="K31" s="10" t="s">
        <v>78</v>
      </c>
      <c r="L31" s="11">
        <v>2.52</v>
      </c>
      <c r="M31" s="12">
        <v>2073</v>
      </c>
      <c r="N31" s="10">
        <v>2005</v>
      </c>
      <c r="O31" s="10">
        <v>8</v>
      </c>
      <c r="P31" s="13">
        <f t="shared" si="2"/>
        <v>0.84859811320754719</v>
      </c>
      <c r="Q31" s="9">
        <v>3.5</v>
      </c>
      <c r="R31" s="14">
        <f t="shared" si="3"/>
        <v>0.86288139622641513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4">
        <f t="shared" si="0"/>
        <v>7.1932079719622233E-2</v>
      </c>
      <c r="AH31" s="1"/>
      <c r="AI31" s="1"/>
    </row>
    <row r="32" spans="1:35" x14ac:dyDescent="0.25">
      <c r="A32" t="s">
        <v>117</v>
      </c>
      <c r="B32" t="s">
        <v>118</v>
      </c>
      <c r="C32">
        <v>45350</v>
      </c>
      <c r="D32">
        <v>798000</v>
      </c>
      <c r="E32">
        <v>798000</v>
      </c>
      <c r="F32">
        <v>67125</v>
      </c>
      <c r="G32">
        <v>611324</v>
      </c>
      <c r="H32" s="1">
        <f t="shared" si="1"/>
        <v>623550.48</v>
      </c>
      <c r="I32">
        <v>2</v>
      </c>
      <c r="J32">
        <v>3211518</v>
      </c>
      <c r="K32" t="s">
        <v>78</v>
      </c>
      <c r="L32">
        <v>2.2999999999999998</v>
      </c>
      <c r="M32">
        <v>4600</v>
      </c>
      <c r="N32">
        <v>1991</v>
      </c>
      <c r="O32">
        <v>0</v>
      </c>
      <c r="P32" s="14">
        <f t="shared" si="2"/>
        <v>0.85018671679197999</v>
      </c>
      <c r="Q32">
        <v>3</v>
      </c>
      <c r="R32" s="14">
        <f t="shared" si="3"/>
        <v>0.86550812030075186</v>
      </c>
      <c r="AG32" s="14">
        <f t="shared" si="0"/>
        <v>6.9305355645285505E-2</v>
      </c>
    </row>
    <row r="33" spans="1:33" x14ac:dyDescent="0.25">
      <c r="A33" t="s">
        <v>119</v>
      </c>
      <c r="B33" t="s">
        <v>120</v>
      </c>
      <c r="C33">
        <v>45470</v>
      </c>
      <c r="D33">
        <v>245000</v>
      </c>
      <c r="E33">
        <v>245000</v>
      </c>
      <c r="F33">
        <v>44200</v>
      </c>
      <c r="G33">
        <v>252056</v>
      </c>
      <c r="H33" s="1">
        <f t="shared" si="1"/>
        <v>257097.12</v>
      </c>
      <c r="I33">
        <v>2</v>
      </c>
      <c r="J33">
        <v>6353510</v>
      </c>
      <c r="K33" t="s">
        <v>55</v>
      </c>
      <c r="L33">
        <v>0.17</v>
      </c>
      <c r="M33">
        <v>1261</v>
      </c>
      <c r="N33">
        <v>1928</v>
      </c>
      <c r="O33">
        <v>18</v>
      </c>
      <c r="P33" s="14">
        <f t="shared" si="2"/>
        <v>1.2092081632653062</v>
      </c>
      <c r="Q33">
        <v>3</v>
      </c>
      <c r="R33" s="14">
        <f t="shared" si="3"/>
        <v>1.2297841632653062</v>
      </c>
      <c r="AG33" s="14">
        <f t="shared" si="0"/>
        <v>0.29497068731926879</v>
      </c>
    </row>
    <row r="34" spans="1:33" x14ac:dyDescent="0.25">
      <c r="A34" t="s">
        <v>121</v>
      </c>
      <c r="B34" t="s">
        <v>122</v>
      </c>
      <c r="C34">
        <v>45597</v>
      </c>
      <c r="D34">
        <v>325000</v>
      </c>
      <c r="E34">
        <v>325000</v>
      </c>
      <c r="F34">
        <v>44058</v>
      </c>
      <c r="G34">
        <v>233180</v>
      </c>
      <c r="H34" s="1">
        <f t="shared" si="1"/>
        <v>237843.6</v>
      </c>
      <c r="I34">
        <v>1</v>
      </c>
      <c r="J34">
        <v>2173157</v>
      </c>
      <c r="K34" t="s">
        <v>43</v>
      </c>
      <c r="L34">
        <v>0.24</v>
      </c>
      <c r="M34">
        <v>1876</v>
      </c>
      <c r="N34">
        <v>1980</v>
      </c>
      <c r="O34">
        <v>18</v>
      </c>
      <c r="P34" s="14">
        <f t="shared" si="2"/>
        <v>0.85304000000000002</v>
      </c>
      <c r="Q34">
        <v>3</v>
      </c>
      <c r="R34" s="14">
        <f t="shared" si="3"/>
        <v>0.86738953846153843</v>
      </c>
      <c r="AG34" s="14">
        <f t="shared" si="0"/>
        <v>6.742393748449893E-2</v>
      </c>
    </row>
    <row r="35" spans="1:33" x14ac:dyDescent="0.25">
      <c r="A35" t="s">
        <v>123</v>
      </c>
      <c r="B35" t="s">
        <v>124</v>
      </c>
      <c r="C35">
        <v>45413</v>
      </c>
      <c r="D35">
        <v>319000</v>
      </c>
      <c r="E35">
        <v>309500</v>
      </c>
      <c r="F35">
        <v>45926</v>
      </c>
      <c r="G35">
        <v>218391</v>
      </c>
      <c r="H35" s="1">
        <f t="shared" si="1"/>
        <v>222758.82</v>
      </c>
      <c r="I35">
        <v>1</v>
      </c>
      <c r="J35">
        <v>2173157</v>
      </c>
      <c r="K35" t="s">
        <v>43</v>
      </c>
      <c r="L35">
        <v>0.28000000000000003</v>
      </c>
      <c r="M35">
        <v>1118</v>
      </c>
      <c r="N35">
        <v>2023</v>
      </c>
      <c r="O35">
        <v>1</v>
      </c>
      <c r="P35" s="14">
        <f t="shared" si="2"/>
        <v>0.85401292407108242</v>
      </c>
      <c r="Q35">
        <v>3.5</v>
      </c>
      <c r="R35" s="14">
        <f t="shared" si="3"/>
        <v>0.8681254281098546</v>
      </c>
      <c r="AG35" s="14">
        <f t="shared" si="0"/>
        <v>6.6688047836182762E-2</v>
      </c>
    </row>
    <row r="36" spans="1:33" x14ac:dyDescent="0.25">
      <c r="A36" t="s">
        <v>125</v>
      </c>
      <c r="B36" t="s">
        <v>126</v>
      </c>
      <c r="C36">
        <v>45601</v>
      </c>
      <c r="D36">
        <v>300000</v>
      </c>
      <c r="E36">
        <v>300000</v>
      </c>
      <c r="F36">
        <v>39400</v>
      </c>
      <c r="G36">
        <v>218393</v>
      </c>
      <c r="H36" s="1">
        <f t="shared" si="1"/>
        <v>222760.86</v>
      </c>
      <c r="I36">
        <v>2</v>
      </c>
      <c r="J36">
        <v>6353510</v>
      </c>
      <c r="K36" t="s">
        <v>55</v>
      </c>
      <c r="L36">
        <v>0.14000000000000001</v>
      </c>
      <c r="M36">
        <v>1200</v>
      </c>
      <c r="N36">
        <v>1978</v>
      </c>
      <c r="O36">
        <v>18</v>
      </c>
      <c r="P36" s="14">
        <f t="shared" si="2"/>
        <v>0.85931000000000002</v>
      </c>
      <c r="Q36">
        <v>3</v>
      </c>
      <c r="R36" s="14">
        <f t="shared" si="3"/>
        <v>0.87386953333333328</v>
      </c>
      <c r="AG36" s="14">
        <f t="shared" si="0"/>
        <v>6.0943942612704083E-2</v>
      </c>
    </row>
    <row r="37" spans="1:33" x14ac:dyDescent="0.25">
      <c r="A37" t="s">
        <v>127</v>
      </c>
      <c r="B37" t="s">
        <v>128</v>
      </c>
      <c r="C37">
        <v>45482</v>
      </c>
      <c r="D37">
        <v>460000</v>
      </c>
      <c r="E37">
        <v>443900</v>
      </c>
      <c r="F37">
        <v>54584</v>
      </c>
      <c r="G37">
        <v>326934</v>
      </c>
      <c r="H37" s="1">
        <f t="shared" si="1"/>
        <v>333472.68</v>
      </c>
      <c r="I37">
        <v>2</v>
      </c>
      <c r="J37">
        <v>6353519</v>
      </c>
      <c r="K37" t="s">
        <v>55</v>
      </c>
      <c r="L37">
        <v>0.26</v>
      </c>
      <c r="M37">
        <v>1862</v>
      </c>
      <c r="N37">
        <v>2012</v>
      </c>
      <c r="O37">
        <v>5</v>
      </c>
      <c r="P37" s="14">
        <f t="shared" si="2"/>
        <v>0.8594683487271908</v>
      </c>
      <c r="Q37">
        <v>3</v>
      </c>
      <c r="R37" s="14">
        <f t="shared" si="3"/>
        <v>0.87419842306825857</v>
      </c>
      <c r="AG37" s="14">
        <f t="shared" si="0"/>
        <v>6.0615052877778797E-2</v>
      </c>
    </row>
    <row r="38" spans="1:33" x14ac:dyDescent="0.25">
      <c r="A38" t="s">
        <v>129</v>
      </c>
      <c r="B38" t="s">
        <v>130</v>
      </c>
      <c r="C38">
        <v>45348</v>
      </c>
      <c r="D38">
        <v>278000</v>
      </c>
      <c r="E38">
        <v>278000</v>
      </c>
      <c r="F38">
        <v>40000</v>
      </c>
      <c r="G38">
        <v>34138</v>
      </c>
      <c r="H38" s="1">
        <f t="shared" si="1"/>
        <v>34820.76</v>
      </c>
      <c r="I38">
        <v>4</v>
      </c>
      <c r="J38">
        <v>1322214</v>
      </c>
      <c r="K38" t="s">
        <v>131</v>
      </c>
      <c r="L38">
        <v>5</v>
      </c>
      <c r="M38">
        <v>1923</v>
      </c>
      <c r="N38">
        <v>1930</v>
      </c>
      <c r="O38">
        <v>0</v>
      </c>
      <c r="P38" s="14">
        <f t="shared" si="2"/>
        <v>0.26668345323741005</v>
      </c>
      <c r="Q38">
        <v>3</v>
      </c>
      <c r="R38" s="14">
        <f t="shared" si="3"/>
        <v>0.26913942446043171</v>
      </c>
      <c r="AG38" s="14">
        <f t="shared" si="0"/>
        <v>0.66567405148560566</v>
      </c>
    </row>
    <row r="39" spans="1:33" x14ac:dyDescent="0.25">
      <c r="A39" t="s">
        <v>132</v>
      </c>
      <c r="B39" t="s">
        <v>133</v>
      </c>
      <c r="C39">
        <v>45589</v>
      </c>
      <c r="D39">
        <v>175000</v>
      </c>
      <c r="E39">
        <v>175000</v>
      </c>
      <c r="F39">
        <v>35500</v>
      </c>
      <c r="G39">
        <v>92301</v>
      </c>
      <c r="H39" s="1">
        <f t="shared" si="1"/>
        <v>94147.02</v>
      </c>
      <c r="I39">
        <v>3</v>
      </c>
      <c r="J39">
        <v>7172614</v>
      </c>
      <c r="K39" t="s">
        <v>134</v>
      </c>
      <c r="L39">
        <v>20</v>
      </c>
      <c r="M39">
        <v>625</v>
      </c>
      <c r="N39">
        <v>1976</v>
      </c>
      <c r="O39">
        <v>19</v>
      </c>
      <c r="P39" s="14">
        <f t="shared" si="2"/>
        <v>0.73029142857142859</v>
      </c>
      <c r="Q39">
        <v>3</v>
      </c>
      <c r="R39" s="14">
        <f t="shared" si="3"/>
        <v>0.74084011428571428</v>
      </c>
      <c r="AG39" s="14">
        <f t="shared" si="0"/>
        <v>0.19397336166032308</v>
      </c>
    </row>
    <row r="40" spans="1:33" x14ac:dyDescent="0.25">
      <c r="A40" t="s">
        <v>135</v>
      </c>
      <c r="B40" t="s">
        <v>136</v>
      </c>
      <c r="C40">
        <v>45604</v>
      </c>
      <c r="D40">
        <v>255000</v>
      </c>
      <c r="E40">
        <v>255000</v>
      </c>
      <c r="F40">
        <v>35750</v>
      </c>
      <c r="G40">
        <v>174919</v>
      </c>
      <c r="H40" s="1">
        <f t="shared" si="1"/>
        <v>178417.38</v>
      </c>
      <c r="I40">
        <v>1</v>
      </c>
      <c r="J40">
        <v>5133573</v>
      </c>
      <c r="K40" t="s">
        <v>137</v>
      </c>
      <c r="L40">
        <v>5</v>
      </c>
      <c r="M40">
        <v>1229</v>
      </c>
      <c r="N40">
        <v>2002</v>
      </c>
      <c r="O40">
        <v>9</v>
      </c>
      <c r="P40" s="14">
        <f t="shared" si="2"/>
        <v>0.82615294117647053</v>
      </c>
      <c r="Q40">
        <v>3</v>
      </c>
      <c r="R40" s="14">
        <f t="shared" si="3"/>
        <v>0.83987207843137257</v>
      </c>
      <c r="AG40" s="14">
        <f t="shared" si="0"/>
        <v>9.4941397514664794E-2</v>
      </c>
    </row>
    <row r="41" spans="1:33" x14ac:dyDescent="0.25">
      <c r="A41" t="s">
        <v>138</v>
      </c>
      <c r="B41" t="s">
        <v>139</v>
      </c>
      <c r="C41">
        <v>45299</v>
      </c>
      <c r="D41">
        <v>260000</v>
      </c>
      <c r="E41">
        <v>260000</v>
      </c>
      <c r="F41">
        <v>57464</v>
      </c>
      <c r="G41">
        <v>164060</v>
      </c>
      <c r="H41" s="1">
        <f t="shared" si="1"/>
        <v>167341.20000000001</v>
      </c>
      <c r="I41">
        <v>3</v>
      </c>
      <c r="J41">
        <v>8222715</v>
      </c>
      <c r="K41" t="s">
        <v>140</v>
      </c>
      <c r="L41">
        <v>7.12</v>
      </c>
      <c r="M41">
        <v>1052</v>
      </c>
      <c r="N41">
        <v>2012</v>
      </c>
      <c r="O41">
        <v>5</v>
      </c>
      <c r="P41" s="14">
        <f t="shared" si="2"/>
        <v>0.85201538461538462</v>
      </c>
      <c r="Q41">
        <v>3</v>
      </c>
      <c r="R41" s="14">
        <f t="shared" si="3"/>
        <v>0.86463538461538469</v>
      </c>
      <c r="AG41" s="14">
        <f t="shared" si="0"/>
        <v>7.017809133065267E-2</v>
      </c>
    </row>
    <row r="42" spans="1:33" x14ac:dyDescent="0.25">
      <c r="A42" t="s">
        <v>141</v>
      </c>
      <c r="B42" t="s">
        <v>142</v>
      </c>
      <c r="C42">
        <v>45329</v>
      </c>
      <c r="D42">
        <v>279278</v>
      </c>
      <c r="E42">
        <v>279278</v>
      </c>
      <c r="F42">
        <v>29700</v>
      </c>
      <c r="G42">
        <v>215252</v>
      </c>
      <c r="H42" s="1">
        <f t="shared" si="1"/>
        <v>219557.04</v>
      </c>
      <c r="I42">
        <v>4</v>
      </c>
      <c r="J42">
        <v>1143762</v>
      </c>
      <c r="K42" t="s">
        <v>143</v>
      </c>
      <c r="L42">
        <v>0.9</v>
      </c>
      <c r="M42">
        <v>1232</v>
      </c>
      <c r="N42">
        <v>1979</v>
      </c>
      <c r="O42">
        <v>0</v>
      </c>
      <c r="P42" s="14">
        <f t="shared" si="2"/>
        <v>0.87709021118741903</v>
      </c>
      <c r="Q42">
        <v>3.5</v>
      </c>
      <c r="R42" s="14">
        <f t="shared" si="3"/>
        <v>0.89250510244272729</v>
      </c>
      <c r="AG42" s="14">
        <f t="shared" si="0"/>
        <v>4.2308373503310071E-2</v>
      </c>
    </row>
    <row r="43" spans="1:33" x14ac:dyDescent="0.25">
      <c r="A43" t="s">
        <v>144</v>
      </c>
      <c r="B43" t="s">
        <v>145</v>
      </c>
      <c r="C43">
        <v>45435</v>
      </c>
      <c r="D43">
        <v>352500</v>
      </c>
      <c r="E43">
        <v>341900</v>
      </c>
      <c r="F43">
        <v>50600</v>
      </c>
      <c r="G43">
        <v>264015</v>
      </c>
      <c r="H43" s="1">
        <f t="shared" si="1"/>
        <v>269295.3</v>
      </c>
      <c r="I43">
        <v>2</v>
      </c>
      <c r="J43">
        <v>6353510</v>
      </c>
      <c r="K43" t="s">
        <v>55</v>
      </c>
      <c r="L43">
        <v>0.21</v>
      </c>
      <c r="M43">
        <v>1684</v>
      </c>
      <c r="N43">
        <v>1954</v>
      </c>
      <c r="O43">
        <v>18</v>
      </c>
      <c r="P43" s="14">
        <f t="shared" si="2"/>
        <v>0.92019596373208545</v>
      </c>
      <c r="Q43">
        <v>3</v>
      </c>
      <c r="R43" s="14">
        <f t="shared" si="3"/>
        <v>0.93563995320269078</v>
      </c>
      <c r="AG43" s="14">
        <f t="shared" si="0"/>
        <v>8.2647725665341287E-4</v>
      </c>
    </row>
    <row r="44" spans="1:33" x14ac:dyDescent="0.25">
      <c r="A44" t="s">
        <v>146</v>
      </c>
      <c r="B44" t="s">
        <v>147</v>
      </c>
      <c r="C44">
        <v>45383</v>
      </c>
      <c r="D44">
        <v>310000</v>
      </c>
      <c r="E44">
        <v>300700</v>
      </c>
      <c r="F44">
        <v>46275</v>
      </c>
      <c r="G44">
        <v>218093</v>
      </c>
      <c r="H44" s="1">
        <f t="shared" si="1"/>
        <v>222454.86</v>
      </c>
      <c r="I44">
        <v>1</v>
      </c>
      <c r="J44">
        <v>2173157</v>
      </c>
      <c r="K44" t="s">
        <v>43</v>
      </c>
      <c r="L44">
        <v>0.28999999999999998</v>
      </c>
      <c r="M44">
        <v>1117</v>
      </c>
      <c r="N44">
        <v>2023</v>
      </c>
      <c r="O44">
        <v>1</v>
      </c>
      <c r="P44" s="14">
        <f t="shared" si="2"/>
        <v>0.87917525773195881</v>
      </c>
      <c r="Q44">
        <v>3.5</v>
      </c>
      <c r="R44" s="14">
        <f t="shared" si="3"/>
        <v>0.89368094446291979</v>
      </c>
      <c r="AG44" s="14">
        <f t="shared" si="0"/>
        <v>4.1132531483117574E-2</v>
      </c>
    </row>
    <row r="45" spans="1:33" x14ac:dyDescent="0.25">
      <c r="A45" t="s">
        <v>148</v>
      </c>
      <c r="B45" t="s">
        <v>149</v>
      </c>
      <c r="C45">
        <v>45411</v>
      </c>
      <c r="D45">
        <v>340000</v>
      </c>
      <c r="E45">
        <v>329800</v>
      </c>
      <c r="F45">
        <v>25650</v>
      </c>
      <c r="G45">
        <v>282146</v>
      </c>
      <c r="H45" s="1">
        <f t="shared" si="1"/>
        <v>287788.92</v>
      </c>
      <c r="I45">
        <v>2</v>
      </c>
      <c r="J45">
        <v>1363210</v>
      </c>
      <c r="K45" t="s">
        <v>60</v>
      </c>
      <c r="L45">
        <v>1.48</v>
      </c>
      <c r="M45">
        <v>1748</v>
      </c>
      <c r="N45">
        <v>1977</v>
      </c>
      <c r="O45">
        <v>19</v>
      </c>
      <c r="P45" s="14">
        <f t="shared" si="2"/>
        <v>0.93328077622801697</v>
      </c>
      <c r="Q45">
        <v>3</v>
      </c>
      <c r="R45" s="14">
        <f t="shared" si="3"/>
        <v>0.95039090357792599</v>
      </c>
      <c r="AG45" s="14">
        <f t="shared" si="0"/>
        <v>1.557742763188863E-2</v>
      </c>
    </row>
    <row r="46" spans="1:33" x14ac:dyDescent="0.25">
      <c r="A46" t="s">
        <v>150</v>
      </c>
      <c r="B46" t="s">
        <v>151</v>
      </c>
      <c r="C46">
        <v>45408</v>
      </c>
      <c r="D46">
        <v>500000</v>
      </c>
      <c r="E46">
        <v>500000</v>
      </c>
      <c r="F46">
        <v>75694</v>
      </c>
      <c r="G46">
        <v>364249</v>
      </c>
      <c r="H46" s="1">
        <f t="shared" si="1"/>
        <v>371533.98</v>
      </c>
      <c r="I46">
        <v>3</v>
      </c>
      <c r="J46">
        <v>1211575</v>
      </c>
      <c r="K46" t="s">
        <v>25</v>
      </c>
      <c r="L46">
        <v>5.77</v>
      </c>
      <c r="M46">
        <v>1692</v>
      </c>
      <c r="N46">
        <v>2010</v>
      </c>
      <c r="O46">
        <v>6</v>
      </c>
      <c r="P46" s="14">
        <f t="shared" si="2"/>
        <v>0.87988599999999995</v>
      </c>
      <c r="Q46">
        <v>3.5</v>
      </c>
      <c r="R46" s="14">
        <f t="shared" si="3"/>
        <v>0.89445595999999994</v>
      </c>
      <c r="AG46" s="14">
        <f t="shared" si="0"/>
        <v>4.0357515946037426E-2</v>
      </c>
    </row>
    <row r="47" spans="1:33" x14ac:dyDescent="0.25">
      <c r="A47" t="s">
        <v>152</v>
      </c>
      <c r="B47" t="s">
        <v>153</v>
      </c>
      <c r="C47">
        <v>45299</v>
      </c>
      <c r="D47">
        <v>520000</v>
      </c>
      <c r="E47">
        <v>520000</v>
      </c>
      <c r="F47">
        <v>30000</v>
      </c>
      <c r="G47">
        <v>324086</v>
      </c>
      <c r="H47" s="1">
        <f t="shared" si="1"/>
        <v>330567.71999999997</v>
      </c>
      <c r="I47">
        <v>4</v>
      </c>
      <c r="J47">
        <v>7173513</v>
      </c>
      <c r="K47" t="s">
        <v>32</v>
      </c>
      <c r="L47">
        <v>45.08</v>
      </c>
      <c r="M47">
        <v>1693</v>
      </c>
      <c r="N47">
        <v>2004</v>
      </c>
      <c r="O47">
        <v>0</v>
      </c>
      <c r="P47" s="14">
        <f t="shared" si="2"/>
        <v>0.68093461538461542</v>
      </c>
      <c r="Q47">
        <v>3</v>
      </c>
      <c r="R47" s="14">
        <f t="shared" si="3"/>
        <v>0.69339946153846144</v>
      </c>
      <c r="AG47" s="14">
        <f t="shared" si="0"/>
        <v>0.24141401440757593</v>
      </c>
    </row>
    <row r="48" spans="1:33" x14ac:dyDescent="0.25">
      <c r="A48" t="s">
        <v>154</v>
      </c>
      <c r="B48" t="s">
        <v>155</v>
      </c>
      <c r="C48">
        <v>45383</v>
      </c>
      <c r="D48">
        <v>279000</v>
      </c>
      <c r="E48">
        <v>279000</v>
      </c>
      <c r="F48">
        <v>35750</v>
      </c>
      <c r="G48">
        <v>211275</v>
      </c>
      <c r="H48" s="1">
        <f t="shared" si="1"/>
        <v>215500.5</v>
      </c>
      <c r="I48">
        <v>1</v>
      </c>
      <c r="J48">
        <v>5133573</v>
      </c>
      <c r="K48" t="s">
        <v>137</v>
      </c>
      <c r="L48">
        <v>2.57</v>
      </c>
      <c r="M48">
        <v>1360</v>
      </c>
      <c r="N48">
        <v>2005</v>
      </c>
      <c r="O48">
        <v>8</v>
      </c>
      <c r="P48" s="14">
        <f t="shared" si="2"/>
        <v>0.88539426523297493</v>
      </c>
      <c r="Q48">
        <v>3</v>
      </c>
      <c r="R48" s="14">
        <f t="shared" si="3"/>
        <v>0.90053942652329744</v>
      </c>
      <c r="AG48" s="14">
        <f t="shared" si="0"/>
        <v>3.4274049422739927E-2</v>
      </c>
    </row>
    <row r="49" spans="1:33" x14ac:dyDescent="0.25">
      <c r="A49" t="s">
        <v>156</v>
      </c>
      <c r="B49" t="s">
        <v>157</v>
      </c>
      <c r="C49">
        <v>45397</v>
      </c>
      <c r="D49">
        <v>344000</v>
      </c>
      <c r="E49">
        <v>333500</v>
      </c>
      <c r="F49">
        <v>59450</v>
      </c>
      <c r="G49">
        <v>235834</v>
      </c>
      <c r="H49" s="1">
        <f t="shared" si="1"/>
        <v>240550.68</v>
      </c>
      <c r="I49">
        <v>2</v>
      </c>
      <c r="J49">
        <v>6353510</v>
      </c>
      <c r="K49" t="s">
        <v>55</v>
      </c>
      <c r="L49">
        <v>0.39</v>
      </c>
      <c r="M49">
        <v>1316</v>
      </c>
      <c r="N49">
        <v>1957</v>
      </c>
      <c r="O49">
        <v>27</v>
      </c>
      <c r="P49" s="14">
        <f t="shared" si="2"/>
        <v>0.88540929535232382</v>
      </c>
      <c r="Q49">
        <v>3</v>
      </c>
      <c r="R49" s="14">
        <f t="shared" si="3"/>
        <v>0.89955226386806597</v>
      </c>
      <c r="AG49" s="14">
        <f t="shared" si="0"/>
        <v>3.5261212077971393E-2</v>
      </c>
    </row>
    <row r="50" spans="1:33" x14ac:dyDescent="0.25">
      <c r="A50" t="s">
        <v>158</v>
      </c>
      <c r="B50" t="s">
        <v>159</v>
      </c>
      <c r="C50">
        <v>45516</v>
      </c>
      <c r="D50">
        <v>435000</v>
      </c>
      <c r="E50">
        <v>421950</v>
      </c>
      <c r="F50">
        <v>70875</v>
      </c>
      <c r="G50">
        <v>303004</v>
      </c>
      <c r="H50" s="1">
        <f t="shared" si="1"/>
        <v>309064.08</v>
      </c>
      <c r="I50">
        <v>2</v>
      </c>
      <c r="J50">
        <v>3211518</v>
      </c>
      <c r="K50" t="s">
        <v>78</v>
      </c>
      <c r="L50">
        <v>2.5</v>
      </c>
      <c r="M50">
        <v>1127</v>
      </c>
      <c r="N50">
        <v>1984</v>
      </c>
      <c r="O50">
        <v>14</v>
      </c>
      <c r="P50" s="14">
        <f t="shared" si="2"/>
        <v>0.88607417940514277</v>
      </c>
      <c r="Q50">
        <v>3</v>
      </c>
      <c r="R50" s="14">
        <f t="shared" si="3"/>
        <v>0.90043626022040535</v>
      </c>
      <c r="AG50" s="14">
        <f t="shared" si="0"/>
        <v>3.4377215725632015E-2</v>
      </c>
    </row>
    <row r="51" spans="1:33" x14ac:dyDescent="0.25">
      <c r="A51" t="s">
        <v>160</v>
      </c>
      <c r="B51" t="s">
        <v>161</v>
      </c>
      <c r="C51">
        <v>45526</v>
      </c>
      <c r="D51">
        <v>212000</v>
      </c>
      <c r="E51">
        <v>207000</v>
      </c>
      <c r="F51">
        <v>19275</v>
      </c>
      <c r="G51">
        <v>164356</v>
      </c>
      <c r="H51" s="1">
        <f t="shared" si="1"/>
        <v>167643.12</v>
      </c>
      <c r="I51">
        <v>2</v>
      </c>
      <c r="J51">
        <v>6353510</v>
      </c>
      <c r="K51" t="s">
        <v>55</v>
      </c>
      <c r="L51">
        <v>0.13</v>
      </c>
      <c r="M51">
        <v>1196</v>
      </c>
      <c r="N51">
        <v>1995</v>
      </c>
      <c r="O51">
        <v>12</v>
      </c>
      <c r="P51" s="14">
        <f t="shared" si="2"/>
        <v>0.88710628019323667</v>
      </c>
      <c r="Q51">
        <v>3</v>
      </c>
      <c r="R51" s="14">
        <f t="shared" si="3"/>
        <v>0.90298608695652172</v>
      </c>
      <c r="AG51" s="14">
        <f t="shared" si="0"/>
        <v>3.1827388989515648E-2</v>
      </c>
    </row>
    <row r="52" spans="1:33" x14ac:dyDescent="0.25">
      <c r="A52" t="s">
        <v>162</v>
      </c>
      <c r="B52" t="s">
        <v>163</v>
      </c>
      <c r="C52">
        <v>45505</v>
      </c>
      <c r="D52">
        <v>235000</v>
      </c>
      <c r="E52">
        <v>235000</v>
      </c>
      <c r="F52">
        <v>35750</v>
      </c>
      <c r="G52">
        <v>172859</v>
      </c>
      <c r="H52" s="1">
        <f t="shared" si="1"/>
        <v>176316.18</v>
      </c>
      <c r="I52">
        <v>1</v>
      </c>
      <c r="J52">
        <v>5133573</v>
      </c>
      <c r="K52" t="s">
        <v>137</v>
      </c>
      <c r="L52">
        <v>2.72</v>
      </c>
      <c r="M52">
        <v>845</v>
      </c>
      <c r="N52">
        <v>2002</v>
      </c>
      <c r="O52">
        <v>9</v>
      </c>
      <c r="P52" s="14">
        <f t="shared" si="2"/>
        <v>0.88769787234042552</v>
      </c>
      <c r="Q52">
        <v>3</v>
      </c>
      <c r="R52" s="14">
        <f t="shared" si="3"/>
        <v>0.90240927659574466</v>
      </c>
      <c r="AG52" s="14">
        <f t="shared" si="0"/>
        <v>3.2404199350292706E-2</v>
      </c>
    </row>
    <row r="53" spans="1:33" x14ac:dyDescent="0.25">
      <c r="A53" t="s">
        <v>164</v>
      </c>
      <c r="B53" t="s">
        <v>165</v>
      </c>
      <c r="C53">
        <v>45639</v>
      </c>
      <c r="D53">
        <v>280000</v>
      </c>
      <c r="E53">
        <v>280000</v>
      </c>
      <c r="F53">
        <v>54396</v>
      </c>
      <c r="G53">
        <v>195169</v>
      </c>
      <c r="H53" s="1">
        <f t="shared" si="1"/>
        <v>199072.38</v>
      </c>
      <c r="I53">
        <v>2</v>
      </c>
      <c r="J53">
        <v>6353519</v>
      </c>
      <c r="K53" t="s">
        <v>55</v>
      </c>
      <c r="L53">
        <v>0.19</v>
      </c>
      <c r="M53">
        <v>1128</v>
      </c>
      <c r="N53">
        <v>1982</v>
      </c>
      <c r="O53">
        <v>17</v>
      </c>
      <c r="P53" s="14">
        <f t="shared" si="2"/>
        <v>0.89130357142857142</v>
      </c>
      <c r="Q53">
        <v>3</v>
      </c>
      <c r="R53" s="14">
        <f t="shared" si="3"/>
        <v>0.90524421428571433</v>
      </c>
      <c r="AG53" s="14">
        <f t="shared" si="0"/>
        <v>2.9569261660323032E-2</v>
      </c>
    </row>
    <row r="54" spans="1:33" x14ac:dyDescent="0.25">
      <c r="A54" t="s">
        <v>166</v>
      </c>
      <c r="B54" t="s">
        <v>167</v>
      </c>
      <c r="C54">
        <v>45322</v>
      </c>
      <c r="D54">
        <v>275000</v>
      </c>
      <c r="E54">
        <v>275000</v>
      </c>
      <c r="F54">
        <v>35750</v>
      </c>
      <c r="G54">
        <v>209523</v>
      </c>
      <c r="H54" s="1">
        <f t="shared" si="1"/>
        <v>213713.46</v>
      </c>
      <c r="I54">
        <v>1</v>
      </c>
      <c r="J54">
        <v>5133573</v>
      </c>
      <c r="K54" t="s">
        <v>137</v>
      </c>
      <c r="L54">
        <v>4.4400000000000004</v>
      </c>
      <c r="M54">
        <v>1786</v>
      </c>
      <c r="N54">
        <v>2004</v>
      </c>
      <c r="O54">
        <v>8</v>
      </c>
      <c r="P54" s="14">
        <f t="shared" si="2"/>
        <v>0.89190181818181813</v>
      </c>
      <c r="Q54">
        <v>2.5</v>
      </c>
      <c r="R54" s="14">
        <f t="shared" si="3"/>
        <v>0.90713985454545454</v>
      </c>
      <c r="AG54" s="14">
        <f t="shared" si="0"/>
        <v>2.7673621400582826E-2</v>
      </c>
    </row>
    <row r="55" spans="1:33" x14ac:dyDescent="0.25">
      <c r="A55" t="s">
        <v>168</v>
      </c>
      <c r="B55" t="s">
        <v>169</v>
      </c>
      <c r="C55">
        <v>45394</v>
      </c>
      <c r="D55">
        <v>325000</v>
      </c>
      <c r="E55">
        <v>319000</v>
      </c>
      <c r="F55">
        <v>53800</v>
      </c>
      <c r="G55">
        <v>249175</v>
      </c>
      <c r="H55" s="1">
        <f t="shared" si="1"/>
        <v>254158.5</v>
      </c>
      <c r="I55">
        <v>2</v>
      </c>
      <c r="J55">
        <v>6353510</v>
      </c>
      <c r="K55" t="s">
        <v>55</v>
      </c>
      <c r="L55">
        <v>0.23</v>
      </c>
      <c r="M55">
        <v>1080</v>
      </c>
      <c r="N55">
        <v>1976</v>
      </c>
      <c r="O55">
        <v>19</v>
      </c>
      <c r="P55" s="14">
        <f t="shared" si="2"/>
        <v>0.94976489028213162</v>
      </c>
      <c r="Q55">
        <v>3</v>
      </c>
      <c r="R55" s="14">
        <f t="shared" si="3"/>
        <v>0.96538714733542319</v>
      </c>
      <c r="AG55" s="14">
        <f t="shared" si="0"/>
        <v>3.0573671389385826E-2</v>
      </c>
    </row>
    <row r="56" spans="1:33" x14ac:dyDescent="0.25">
      <c r="A56" t="s">
        <v>170</v>
      </c>
      <c r="B56" t="s">
        <v>171</v>
      </c>
      <c r="C56">
        <v>45411</v>
      </c>
      <c r="D56">
        <v>160000</v>
      </c>
      <c r="E56">
        <v>160000</v>
      </c>
      <c r="F56">
        <v>35500</v>
      </c>
      <c r="G56">
        <v>109501</v>
      </c>
      <c r="H56" s="1">
        <f t="shared" si="1"/>
        <v>111691.02</v>
      </c>
      <c r="I56">
        <v>3</v>
      </c>
      <c r="J56">
        <v>7172614</v>
      </c>
      <c r="K56" t="s">
        <v>134</v>
      </c>
      <c r="L56">
        <v>10</v>
      </c>
      <c r="M56">
        <v>888</v>
      </c>
      <c r="N56">
        <v>1977</v>
      </c>
      <c r="O56">
        <v>19</v>
      </c>
      <c r="P56" s="14">
        <f t="shared" si="2"/>
        <v>0.90625624999999999</v>
      </c>
      <c r="Q56">
        <v>3</v>
      </c>
      <c r="R56" s="14">
        <f t="shared" si="3"/>
        <v>0.91994387500000008</v>
      </c>
      <c r="AG56" s="14">
        <f t="shared" si="0"/>
        <v>1.4869600946037287E-2</v>
      </c>
    </row>
    <row r="57" spans="1:33" x14ac:dyDescent="0.25">
      <c r="A57" t="s">
        <v>172</v>
      </c>
      <c r="B57" t="s">
        <v>173</v>
      </c>
      <c r="C57">
        <v>45440</v>
      </c>
      <c r="D57">
        <v>410000</v>
      </c>
      <c r="E57">
        <v>410000</v>
      </c>
      <c r="F57">
        <v>71510</v>
      </c>
      <c r="G57">
        <v>297481</v>
      </c>
      <c r="H57" s="1">
        <f t="shared" si="1"/>
        <v>303430.62</v>
      </c>
      <c r="I57">
        <v>1</v>
      </c>
      <c r="J57">
        <v>1163119</v>
      </c>
      <c r="K57" t="s">
        <v>174</v>
      </c>
      <c r="L57">
        <v>5.1100000000000003</v>
      </c>
      <c r="M57">
        <v>1360</v>
      </c>
      <c r="N57">
        <v>2013</v>
      </c>
      <c r="O57">
        <v>5</v>
      </c>
      <c r="P57" s="14">
        <f t="shared" si="2"/>
        <v>0.89997804878048782</v>
      </c>
      <c r="Q57">
        <v>3.5</v>
      </c>
      <c r="R57" s="14">
        <f t="shared" si="3"/>
        <v>0.91448931707317072</v>
      </c>
      <c r="AG57" s="14">
        <f t="shared" si="0"/>
        <v>2.0324158872866649E-2</v>
      </c>
    </row>
    <row r="58" spans="1:33" x14ac:dyDescent="0.25">
      <c r="A58" t="s">
        <v>175</v>
      </c>
      <c r="B58" t="s">
        <v>176</v>
      </c>
      <c r="C58">
        <v>45310</v>
      </c>
      <c r="D58">
        <v>285000</v>
      </c>
      <c r="E58">
        <v>285000</v>
      </c>
      <c r="F58">
        <v>35750</v>
      </c>
      <c r="G58">
        <v>220851</v>
      </c>
      <c r="H58" s="1">
        <f t="shared" si="1"/>
        <v>225268.02</v>
      </c>
      <c r="I58">
        <v>1</v>
      </c>
      <c r="J58">
        <v>5133573</v>
      </c>
      <c r="K58" t="s">
        <v>137</v>
      </c>
      <c r="L58">
        <v>4.78</v>
      </c>
      <c r="M58">
        <v>1984</v>
      </c>
      <c r="N58">
        <v>2006</v>
      </c>
      <c r="O58">
        <v>8</v>
      </c>
      <c r="P58" s="14">
        <f t="shared" si="2"/>
        <v>0.90035438596491224</v>
      </c>
      <c r="Q58">
        <v>3</v>
      </c>
      <c r="R58" s="14">
        <f t="shared" si="3"/>
        <v>0.91585270175438593</v>
      </c>
      <c r="AG58" s="14">
        <f t="shared" si="0"/>
        <v>1.8960774191651431E-2</v>
      </c>
    </row>
    <row r="59" spans="1:33" x14ac:dyDescent="0.25">
      <c r="A59" t="s">
        <v>177</v>
      </c>
      <c r="B59" t="s">
        <v>178</v>
      </c>
      <c r="C59">
        <v>45437</v>
      </c>
      <c r="D59">
        <v>135000</v>
      </c>
      <c r="E59">
        <v>135000</v>
      </c>
      <c r="F59">
        <v>39841</v>
      </c>
      <c r="G59">
        <v>84200</v>
      </c>
      <c r="H59" s="1">
        <f t="shared" si="1"/>
        <v>85884</v>
      </c>
      <c r="I59">
        <v>1</v>
      </c>
      <c r="J59">
        <v>2173157</v>
      </c>
      <c r="K59" t="s">
        <v>43</v>
      </c>
      <c r="L59">
        <v>0.18</v>
      </c>
      <c r="M59">
        <v>748</v>
      </c>
      <c r="N59">
        <v>1913</v>
      </c>
      <c r="O59">
        <v>28</v>
      </c>
      <c r="P59" s="14">
        <f t="shared" si="2"/>
        <v>0.91882222222222221</v>
      </c>
      <c r="Q59">
        <v>3</v>
      </c>
      <c r="R59" s="14">
        <f t="shared" si="3"/>
        <v>0.93129629629629629</v>
      </c>
      <c r="AG59" s="14">
        <f t="shared" si="0"/>
        <v>3.5171796497410757E-3</v>
      </c>
    </row>
    <row r="60" spans="1:33" x14ac:dyDescent="0.25">
      <c r="A60" t="s">
        <v>179</v>
      </c>
      <c r="B60" t="s">
        <v>180</v>
      </c>
      <c r="C60">
        <v>45623</v>
      </c>
      <c r="D60">
        <v>275000</v>
      </c>
      <c r="E60">
        <v>266600</v>
      </c>
      <c r="F60">
        <v>53830</v>
      </c>
      <c r="G60">
        <v>196993</v>
      </c>
      <c r="H60" s="1">
        <f t="shared" si="1"/>
        <v>200932.86</v>
      </c>
      <c r="I60">
        <v>2</v>
      </c>
      <c r="J60">
        <v>6353519</v>
      </c>
      <c r="K60" t="s">
        <v>55</v>
      </c>
      <c r="L60">
        <v>0.14000000000000001</v>
      </c>
      <c r="M60">
        <v>1145</v>
      </c>
      <c r="N60">
        <v>2008</v>
      </c>
      <c r="O60">
        <v>7</v>
      </c>
      <c r="P60" s="14">
        <f t="shared" si="2"/>
        <v>0.94082145536384099</v>
      </c>
      <c r="Q60">
        <v>3</v>
      </c>
      <c r="R60" s="14">
        <f t="shared" si="3"/>
        <v>0.95559962490622652</v>
      </c>
      <c r="AG60" s="14">
        <f t="shared" si="0"/>
        <v>2.0786148960189155E-2</v>
      </c>
    </row>
    <row r="61" spans="1:33" x14ac:dyDescent="0.25">
      <c r="A61" t="s">
        <v>181</v>
      </c>
      <c r="B61" t="s">
        <v>182</v>
      </c>
      <c r="C61">
        <v>45383</v>
      </c>
      <c r="D61">
        <v>449000</v>
      </c>
      <c r="E61">
        <v>449000</v>
      </c>
      <c r="F61">
        <v>196138</v>
      </c>
      <c r="G61">
        <v>0</v>
      </c>
      <c r="H61" s="1">
        <f t="shared" si="1"/>
        <v>0</v>
      </c>
      <c r="I61">
        <v>2</v>
      </c>
      <c r="J61">
        <v>1353156</v>
      </c>
      <c r="K61" t="s">
        <v>183</v>
      </c>
      <c r="L61">
        <v>1.1100000000000001</v>
      </c>
      <c r="M61">
        <v>1741</v>
      </c>
      <c r="N61">
        <v>2023</v>
      </c>
      <c r="O61">
        <v>1</v>
      </c>
      <c r="P61" s="14">
        <f t="shared" si="2"/>
        <v>0.43683296213808465</v>
      </c>
      <c r="Q61">
        <v>3.5</v>
      </c>
      <c r="R61" s="14">
        <f t="shared" si="3"/>
        <v>0.43683296213808465</v>
      </c>
      <c r="AG61" s="14">
        <f t="shared" si="0"/>
        <v>0.49798051380795272</v>
      </c>
    </row>
    <row r="62" spans="1:33" x14ac:dyDescent="0.25">
      <c r="A62" t="s">
        <v>184</v>
      </c>
      <c r="B62" t="s">
        <v>185</v>
      </c>
      <c r="C62">
        <v>45461</v>
      </c>
      <c r="D62">
        <v>575000</v>
      </c>
      <c r="E62">
        <v>575000</v>
      </c>
      <c r="F62">
        <v>39000</v>
      </c>
      <c r="G62">
        <v>467300</v>
      </c>
      <c r="H62" s="1">
        <f t="shared" si="1"/>
        <v>476646</v>
      </c>
      <c r="I62">
        <v>4</v>
      </c>
      <c r="J62">
        <v>5172568</v>
      </c>
      <c r="K62" t="s">
        <v>110</v>
      </c>
      <c r="L62">
        <v>4</v>
      </c>
      <c r="M62">
        <v>2116</v>
      </c>
      <c r="N62">
        <v>2006</v>
      </c>
      <c r="O62">
        <v>8</v>
      </c>
      <c r="P62" s="14">
        <f t="shared" si="2"/>
        <v>0.88052173913043474</v>
      </c>
      <c r="Q62">
        <v>3.5</v>
      </c>
      <c r="R62" s="14">
        <f t="shared" si="3"/>
        <v>0.89677565217391308</v>
      </c>
      <c r="AG62" s="14">
        <f t="shared" si="0"/>
        <v>3.803782377212428E-2</v>
      </c>
    </row>
    <row r="63" spans="1:33" x14ac:dyDescent="0.25">
      <c r="A63" t="s">
        <v>186</v>
      </c>
      <c r="B63" t="s">
        <v>187</v>
      </c>
      <c r="C63">
        <v>45465</v>
      </c>
      <c r="D63">
        <v>500000</v>
      </c>
      <c r="E63">
        <v>500000</v>
      </c>
      <c r="F63">
        <v>38237</v>
      </c>
      <c r="G63">
        <v>417371</v>
      </c>
      <c r="H63" s="1">
        <f t="shared" si="1"/>
        <v>425718.42</v>
      </c>
      <c r="I63">
        <v>1</v>
      </c>
      <c r="J63">
        <v>5153513</v>
      </c>
      <c r="K63" t="s">
        <v>174</v>
      </c>
      <c r="L63">
        <v>11.96</v>
      </c>
      <c r="M63">
        <v>2700</v>
      </c>
      <c r="N63">
        <v>1983</v>
      </c>
      <c r="O63">
        <v>17</v>
      </c>
      <c r="P63" s="14">
        <f t="shared" si="2"/>
        <v>0.91121600000000003</v>
      </c>
      <c r="Q63">
        <v>3.5</v>
      </c>
      <c r="R63" s="14">
        <f t="shared" si="3"/>
        <v>0.92791084000000001</v>
      </c>
      <c r="AG63" s="14">
        <f t="shared" si="0"/>
        <v>6.9026359460373499E-3</v>
      </c>
    </row>
    <row r="64" spans="1:33" x14ac:dyDescent="0.25">
      <c r="A64" t="s">
        <v>188</v>
      </c>
      <c r="B64" t="s">
        <v>189</v>
      </c>
      <c r="C64">
        <v>45506</v>
      </c>
      <c r="D64">
        <v>308500</v>
      </c>
      <c r="E64">
        <v>299245</v>
      </c>
      <c r="F64">
        <v>52200</v>
      </c>
      <c r="G64">
        <v>237356</v>
      </c>
      <c r="H64" s="1">
        <f t="shared" si="1"/>
        <v>242103.12</v>
      </c>
      <c r="I64">
        <v>2</v>
      </c>
      <c r="J64">
        <v>6353510</v>
      </c>
      <c r="K64" t="s">
        <v>55</v>
      </c>
      <c r="L64">
        <v>0.22</v>
      </c>
      <c r="M64">
        <v>1256</v>
      </c>
      <c r="N64">
        <v>1947</v>
      </c>
      <c r="O64">
        <v>21</v>
      </c>
      <c r="P64" s="14">
        <f t="shared" si="2"/>
        <v>0.96762184831826759</v>
      </c>
      <c r="Q64">
        <v>3</v>
      </c>
      <c r="R64" s="14">
        <f t="shared" si="3"/>
        <v>0.98348550518805655</v>
      </c>
      <c r="AG64" s="14">
        <f t="shared" si="0"/>
        <v>4.8672029242019188E-2</v>
      </c>
    </row>
    <row r="65" spans="1:33" x14ac:dyDescent="0.25">
      <c r="A65" t="s">
        <v>190</v>
      </c>
      <c r="B65" t="s">
        <v>191</v>
      </c>
      <c r="C65">
        <v>45373</v>
      </c>
      <c r="D65">
        <v>355000</v>
      </c>
      <c r="E65">
        <v>344350</v>
      </c>
      <c r="F65">
        <v>53059</v>
      </c>
      <c r="G65">
        <v>178147</v>
      </c>
      <c r="H65" s="1">
        <f t="shared" si="1"/>
        <v>181709.94</v>
      </c>
      <c r="I65">
        <v>1</v>
      </c>
      <c r="J65">
        <v>2173157</v>
      </c>
      <c r="K65" t="s">
        <v>43</v>
      </c>
      <c r="L65">
        <v>0.54</v>
      </c>
      <c r="M65">
        <v>1148</v>
      </c>
      <c r="N65">
        <v>1955</v>
      </c>
      <c r="O65">
        <v>20</v>
      </c>
      <c r="P65" s="14">
        <f t="shared" si="2"/>
        <v>0.67142732684768403</v>
      </c>
      <c r="Q65">
        <v>3.5</v>
      </c>
      <c r="R65" s="14">
        <f t="shared" si="3"/>
        <v>0.68177418324379269</v>
      </c>
      <c r="AG65" s="14">
        <f t="shared" si="0"/>
        <v>0.25303929270224468</v>
      </c>
    </row>
    <row r="66" spans="1:33" x14ac:dyDescent="0.25">
      <c r="A66" t="s">
        <v>192</v>
      </c>
      <c r="B66" t="s">
        <v>193</v>
      </c>
      <c r="C66">
        <v>45461</v>
      </c>
      <c r="D66">
        <v>250000</v>
      </c>
      <c r="E66">
        <v>250000</v>
      </c>
      <c r="F66">
        <v>42600</v>
      </c>
      <c r="G66">
        <v>193332</v>
      </c>
      <c r="H66" s="1">
        <f t="shared" si="1"/>
        <v>197198.64</v>
      </c>
      <c r="I66">
        <v>2</v>
      </c>
      <c r="J66">
        <v>6353510</v>
      </c>
      <c r="K66" t="s">
        <v>55</v>
      </c>
      <c r="L66">
        <v>0.16</v>
      </c>
      <c r="M66">
        <v>1233</v>
      </c>
      <c r="N66">
        <v>1960</v>
      </c>
      <c r="O66">
        <v>18</v>
      </c>
      <c r="P66" s="14">
        <f t="shared" si="2"/>
        <v>0.94372800000000001</v>
      </c>
      <c r="Q66">
        <v>2.5</v>
      </c>
      <c r="R66" s="14">
        <f t="shared" si="3"/>
        <v>0.95919456000000003</v>
      </c>
      <c r="AG66" s="14">
        <f t="shared" ref="AG66:AG129" si="9">ABS(R66-$V$10)</f>
        <v>2.4381084053962665E-2</v>
      </c>
    </row>
    <row r="67" spans="1:33" x14ac:dyDescent="0.25">
      <c r="A67" t="s">
        <v>194</v>
      </c>
      <c r="B67" t="s">
        <v>195</v>
      </c>
      <c r="C67">
        <v>45414</v>
      </c>
      <c r="D67">
        <v>280000</v>
      </c>
      <c r="E67">
        <v>271450</v>
      </c>
      <c r="F67">
        <v>53800</v>
      </c>
      <c r="G67">
        <v>212596</v>
      </c>
      <c r="H67" s="1">
        <f t="shared" ref="H67:H130" si="10">ROUND(G67*(INDEX($W$2:$W$7,MATCH(I67,$V$2:$V$7,0)))* INDEX($Z$2:$Z$7, MATCH(M67, $X$2:$X$7, 1))* INDEX($AC$2:$AC$7, MATCH(N67, $AA$2:$AA$7, 1))*INDEX($U$2:$U$7,MATCH(Q67,$T$2:$T$7,0)),2)</f>
        <v>216847.92</v>
      </c>
      <c r="I67">
        <v>2</v>
      </c>
      <c r="J67">
        <v>6353510</v>
      </c>
      <c r="K67" t="s">
        <v>55</v>
      </c>
      <c r="L67">
        <v>0.23</v>
      </c>
      <c r="M67">
        <v>1080</v>
      </c>
      <c r="N67">
        <v>1984</v>
      </c>
      <c r="O67">
        <v>16</v>
      </c>
      <c r="P67" s="14">
        <f t="shared" ref="P67:P130" si="11">(F67+G67)/E67</f>
        <v>0.98138146988395658</v>
      </c>
      <c r="Q67">
        <v>3</v>
      </c>
      <c r="R67" s="14">
        <f t="shared" ref="R67:R130" si="12">(H67+F67)/E67</f>
        <v>0.9970452016946032</v>
      </c>
      <c r="AG67" s="14">
        <f t="shared" si="9"/>
        <v>6.2231725748565836E-2</v>
      </c>
    </row>
    <row r="68" spans="1:33" x14ac:dyDescent="0.25">
      <c r="A68" t="s">
        <v>196</v>
      </c>
      <c r="B68" t="s">
        <v>197</v>
      </c>
      <c r="C68">
        <v>45351</v>
      </c>
      <c r="D68">
        <v>381500</v>
      </c>
      <c r="E68">
        <v>381500</v>
      </c>
      <c r="F68">
        <v>36850</v>
      </c>
      <c r="G68">
        <v>313202</v>
      </c>
      <c r="H68" s="1">
        <f t="shared" si="10"/>
        <v>319466.03999999998</v>
      </c>
      <c r="I68">
        <v>2</v>
      </c>
      <c r="J68">
        <v>3211548</v>
      </c>
      <c r="K68" t="s">
        <v>78</v>
      </c>
      <c r="L68">
        <v>2.57</v>
      </c>
      <c r="M68">
        <v>2340</v>
      </c>
      <c r="N68">
        <v>2006</v>
      </c>
      <c r="O68">
        <v>0</v>
      </c>
      <c r="P68" s="14">
        <f t="shared" si="11"/>
        <v>0.91756749672346005</v>
      </c>
      <c r="Q68">
        <v>3</v>
      </c>
      <c r="R68" s="14">
        <f t="shared" si="12"/>
        <v>0.93398699868938395</v>
      </c>
      <c r="AG68" s="14">
        <f t="shared" si="9"/>
        <v>8.2647725665341287E-4</v>
      </c>
    </row>
    <row r="69" spans="1:33" x14ac:dyDescent="0.25">
      <c r="A69" t="s">
        <v>198</v>
      </c>
      <c r="B69" t="s">
        <v>199</v>
      </c>
      <c r="C69">
        <v>45342</v>
      </c>
      <c r="D69">
        <v>829000</v>
      </c>
      <c r="E69">
        <v>829000</v>
      </c>
      <c r="F69">
        <v>45000</v>
      </c>
      <c r="G69">
        <v>701936</v>
      </c>
      <c r="H69" s="1">
        <f t="shared" si="10"/>
        <v>715974.72</v>
      </c>
      <c r="I69">
        <v>2</v>
      </c>
      <c r="J69">
        <v>3211518</v>
      </c>
      <c r="K69" t="s">
        <v>78</v>
      </c>
      <c r="L69">
        <v>1.1200000000000001</v>
      </c>
      <c r="M69">
        <v>4200</v>
      </c>
      <c r="N69">
        <v>2018</v>
      </c>
      <c r="O69">
        <v>0</v>
      </c>
      <c r="P69" s="14">
        <f t="shared" si="11"/>
        <v>0.90100844390832324</v>
      </c>
      <c r="Q69">
        <v>3</v>
      </c>
      <c r="R69" s="14">
        <f t="shared" si="12"/>
        <v>0.9179429674306393</v>
      </c>
      <c r="AG69" s="14">
        <f t="shared" si="9"/>
        <v>1.6870508515398064E-2</v>
      </c>
    </row>
    <row r="70" spans="1:33" x14ac:dyDescent="0.25">
      <c r="A70" t="s">
        <v>200</v>
      </c>
      <c r="B70" t="s">
        <v>201</v>
      </c>
      <c r="C70">
        <v>45474</v>
      </c>
      <c r="D70">
        <v>270000</v>
      </c>
      <c r="E70">
        <v>269500</v>
      </c>
      <c r="F70">
        <v>35750</v>
      </c>
      <c r="G70">
        <v>212174</v>
      </c>
      <c r="H70" s="1">
        <f t="shared" si="10"/>
        <v>216417.48</v>
      </c>
      <c r="I70">
        <v>1</v>
      </c>
      <c r="J70">
        <v>5133573</v>
      </c>
      <c r="K70" t="s">
        <v>137</v>
      </c>
      <c r="L70">
        <v>2.5099999999999998</v>
      </c>
      <c r="M70">
        <v>1552</v>
      </c>
      <c r="N70">
        <v>2005</v>
      </c>
      <c r="O70">
        <v>8</v>
      </c>
      <c r="P70" s="14">
        <f t="shared" si="11"/>
        <v>0.91994063079777366</v>
      </c>
      <c r="Q70">
        <v>3</v>
      </c>
      <c r="R70" s="14">
        <f t="shared" si="12"/>
        <v>0.93568638218923939</v>
      </c>
      <c r="AG70" s="14">
        <f t="shared" si="9"/>
        <v>8.729062432020207E-4</v>
      </c>
    </row>
    <row r="71" spans="1:33" x14ac:dyDescent="0.25">
      <c r="A71" t="s">
        <v>202</v>
      </c>
      <c r="B71" t="s">
        <v>203</v>
      </c>
      <c r="C71">
        <v>45545</v>
      </c>
      <c r="D71">
        <v>349000</v>
      </c>
      <c r="E71">
        <v>344000</v>
      </c>
      <c r="F71">
        <v>45530</v>
      </c>
      <c r="G71">
        <v>271297</v>
      </c>
      <c r="H71" s="1">
        <f t="shared" si="10"/>
        <v>276722.94</v>
      </c>
      <c r="I71">
        <v>1</v>
      </c>
      <c r="J71">
        <v>2173157</v>
      </c>
      <c r="K71" t="s">
        <v>43</v>
      </c>
      <c r="L71">
        <v>0.27</v>
      </c>
      <c r="M71">
        <v>1509</v>
      </c>
      <c r="N71">
        <v>2006</v>
      </c>
      <c r="O71">
        <v>8</v>
      </c>
      <c r="P71" s="14">
        <f t="shared" si="11"/>
        <v>0.92100872093023256</v>
      </c>
      <c r="Q71">
        <v>3</v>
      </c>
      <c r="R71" s="14">
        <f t="shared" si="12"/>
        <v>0.93678180232558139</v>
      </c>
      <c r="AG71" s="14">
        <f t="shared" si="9"/>
        <v>1.9683263795440276E-3</v>
      </c>
    </row>
    <row r="72" spans="1:33" x14ac:dyDescent="0.25">
      <c r="A72" t="s">
        <v>204</v>
      </c>
      <c r="B72" t="s">
        <v>205</v>
      </c>
      <c r="C72">
        <v>45503</v>
      </c>
      <c r="D72">
        <v>325000</v>
      </c>
      <c r="E72">
        <v>306300</v>
      </c>
      <c r="F72">
        <v>68725</v>
      </c>
      <c r="G72">
        <v>242823</v>
      </c>
      <c r="H72" s="1">
        <f t="shared" si="10"/>
        <v>247679.46</v>
      </c>
      <c r="I72">
        <v>2</v>
      </c>
      <c r="J72">
        <v>6353510</v>
      </c>
      <c r="K72" t="s">
        <v>55</v>
      </c>
      <c r="L72">
        <v>0.92</v>
      </c>
      <c r="M72">
        <v>1600</v>
      </c>
      <c r="N72">
        <v>2007</v>
      </c>
      <c r="O72">
        <v>6</v>
      </c>
      <c r="P72" s="14">
        <f t="shared" si="11"/>
        <v>1.0171335292197192</v>
      </c>
      <c r="Q72">
        <v>3</v>
      </c>
      <c r="R72" s="14">
        <f t="shared" si="12"/>
        <v>1.0329887691805417</v>
      </c>
      <c r="AG72" s="14">
        <f t="shared" si="9"/>
        <v>9.8175293234504357E-2</v>
      </c>
    </row>
    <row r="73" spans="1:33" x14ac:dyDescent="0.25">
      <c r="A73" t="s">
        <v>206</v>
      </c>
      <c r="B73" t="s">
        <v>207</v>
      </c>
      <c r="C73">
        <v>45378</v>
      </c>
      <c r="D73">
        <v>375000</v>
      </c>
      <c r="E73">
        <v>363878</v>
      </c>
      <c r="F73">
        <v>40830</v>
      </c>
      <c r="G73">
        <v>294982</v>
      </c>
      <c r="H73" s="1">
        <f t="shared" si="10"/>
        <v>300881.64</v>
      </c>
      <c r="I73">
        <v>4</v>
      </c>
      <c r="J73">
        <v>1143762</v>
      </c>
      <c r="K73" t="s">
        <v>143</v>
      </c>
      <c r="L73">
        <v>0.51</v>
      </c>
      <c r="M73">
        <v>1420</v>
      </c>
      <c r="N73">
        <v>1972</v>
      </c>
      <c r="O73">
        <v>20</v>
      </c>
      <c r="P73" s="14">
        <f t="shared" si="11"/>
        <v>0.92286975304909891</v>
      </c>
      <c r="Q73">
        <v>3.5</v>
      </c>
      <c r="R73" s="14">
        <f t="shared" si="12"/>
        <v>0.93908298935357459</v>
      </c>
      <c r="AG73" s="14">
        <f t="shared" si="9"/>
        <v>4.2695134075372287E-3</v>
      </c>
    </row>
    <row r="74" spans="1:33" x14ac:dyDescent="0.25">
      <c r="A74" t="s">
        <v>208</v>
      </c>
      <c r="B74" t="s">
        <v>209</v>
      </c>
      <c r="C74">
        <v>45616</v>
      </c>
      <c r="D74">
        <v>369000</v>
      </c>
      <c r="E74">
        <v>369000</v>
      </c>
      <c r="F74">
        <v>58400</v>
      </c>
      <c r="G74">
        <v>283010</v>
      </c>
      <c r="H74" s="1">
        <f t="shared" si="10"/>
        <v>288670.2</v>
      </c>
      <c r="I74">
        <v>2</v>
      </c>
      <c r="J74">
        <v>6353510</v>
      </c>
      <c r="K74" t="s">
        <v>55</v>
      </c>
      <c r="L74">
        <v>0.33</v>
      </c>
      <c r="M74">
        <v>1833</v>
      </c>
      <c r="N74">
        <v>1974</v>
      </c>
      <c r="O74">
        <v>20</v>
      </c>
      <c r="P74" s="14">
        <f t="shared" si="11"/>
        <v>0.92523035230352302</v>
      </c>
      <c r="Q74">
        <v>3</v>
      </c>
      <c r="R74" s="14">
        <f t="shared" si="12"/>
        <v>0.940569647696477</v>
      </c>
      <c r="AG74" s="14">
        <f t="shared" si="9"/>
        <v>5.7561717504396315E-3</v>
      </c>
    </row>
    <row r="75" spans="1:33" x14ac:dyDescent="0.25">
      <c r="A75" t="s">
        <v>210</v>
      </c>
      <c r="B75" t="s">
        <v>211</v>
      </c>
      <c r="C75">
        <v>45512</v>
      </c>
      <c r="D75">
        <v>450000</v>
      </c>
      <c r="E75">
        <v>448600</v>
      </c>
      <c r="F75">
        <v>43473</v>
      </c>
      <c r="G75">
        <v>371798</v>
      </c>
      <c r="H75" s="1">
        <f t="shared" si="10"/>
        <v>379233.96</v>
      </c>
      <c r="I75">
        <v>1</v>
      </c>
      <c r="J75">
        <v>2173157</v>
      </c>
      <c r="K75" t="s">
        <v>43</v>
      </c>
      <c r="L75">
        <v>0.23</v>
      </c>
      <c r="M75">
        <v>1776</v>
      </c>
      <c r="N75">
        <v>2021</v>
      </c>
      <c r="O75">
        <v>2</v>
      </c>
      <c r="P75" s="14">
        <f t="shared" si="11"/>
        <v>0.9257044137316095</v>
      </c>
      <c r="Q75">
        <v>4</v>
      </c>
      <c r="R75" s="14">
        <f t="shared" si="12"/>
        <v>0.94228033883192153</v>
      </c>
      <c r="AG75" s="14">
        <f t="shared" si="9"/>
        <v>7.4668628858841624E-3</v>
      </c>
    </row>
    <row r="76" spans="1:33" x14ac:dyDescent="0.25">
      <c r="A76" t="s">
        <v>212</v>
      </c>
      <c r="B76" t="s">
        <v>213</v>
      </c>
      <c r="C76">
        <v>45555</v>
      </c>
      <c r="D76">
        <v>340000</v>
      </c>
      <c r="E76">
        <v>330915</v>
      </c>
      <c r="F76">
        <v>57634</v>
      </c>
      <c r="G76">
        <v>248817</v>
      </c>
      <c r="H76" s="1">
        <f t="shared" si="10"/>
        <v>253793.34</v>
      </c>
      <c r="I76">
        <v>2</v>
      </c>
      <c r="J76">
        <v>6353519</v>
      </c>
      <c r="K76" t="s">
        <v>55</v>
      </c>
      <c r="L76">
        <v>1.06</v>
      </c>
      <c r="M76">
        <v>1582</v>
      </c>
      <c r="N76">
        <v>2023</v>
      </c>
      <c r="O76">
        <v>1</v>
      </c>
      <c r="P76" s="14">
        <f t="shared" si="11"/>
        <v>0.92607164981944001</v>
      </c>
      <c r="Q76">
        <v>3.5</v>
      </c>
      <c r="R76" s="14">
        <f t="shared" si="12"/>
        <v>0.9411097713914448</v>
      </c>
      <c r="AG76" s="14">
        <f t="shared" si="9"/>
        <v>6.2962954454074405E-3</v>
      </c>
    </row>
    <row r="77" spans="1:33" x14ac:dyDescent="0.25">
      <c r="A77" t="s">
        <v>214</v>
      </c>
      <c r="B77" t="s">
        <v>215</v>
      </c>
      <c r="C77">
        <v>45602</v>
      </c>
      <c r="D77">
        <v>230000</v>
      </c>
      <c r="E77">
        <v>230000</v>
      </c>
      <c r="F77">
        <v>61966</v>
      </c>
      <c r="G77">
        <v>143268</v>
      </c>
      <c r="H77" s="1">
        <f t="shared" si="10"/>
        <v>146133.35999999999</v>
      </c>
      <c r="I77">
        <v>3</v>
      </c>
      <c r="J77">
        <v>8222715</v>
      </c>
      <c r="K77" t="s">
        <v>140</v>
      </c>
      <c r="L77">
        <v>10</v>
      </c>
      <c r="M77">
        <v>1217</v>
      </c>
      <c r="N77">
        <v>1980</v>
      </c>
      <c r="O77">
        <v>18</v>
      </c>
      <c r="P77" s="14">
        <f t="shared" si="11"/>
        <v>0.89232173913043478</v>
      </c>
      <c r="Q77">
        <v>3</v>
      </c>
      <c r="R77" s="14">
        <f t="shared" si="12"/>
        <v>0.90477982608695651</v>
      </c>
      <c r="AG77" s="14">
        <f t="shared" si="9"/>
        <v>3.0033649859080858E-2</v>
      </c>
    </row>
    <row r="78" spans="1:33" x14ac:dyDescent="0.25">
      <c r="A78" t="s">
        <v>216</v>
      </c>
      <c r="B78" t="s">
        <v>217</v>
      </c>
      <c r="C78">
        <v>45517</v>
      </c>
      <c r="D78">
        <v>295000</v>
      </c>
      <c r="E78">
        <v>295000</v>
      </c>
      <c r="F78">
        <v>70680</v>
      </c>
      <c r="G78">
        <v>202593</v>
      </c>
      <c r="H78" s="1">
        <f t="shared" si="10"/>
        <v>206644.86</v>
      </c>
      <c r="I78">
        <v>4</v>
      </c>
      <c r="J78">
        <v>1143799</v>
      </c>
      <c r="K78" t="s">
        <v>218</v>
      </c>
      <c r="L78">
        <v>2.52</v>
      </c>
      <c r="M78">
        <v>1356</v>
      </c>
      <c r="N78">
        <v>1959</v>
      </c>
      <c r="O78">
        <v>18</v>
      </c>
      <c r="P78" s="14">
        <f t="shared" si="11"/>
        <v>0.92634915254237293</v>
      </c>
      <c r="Q78">
        <v>3</v>
      </c>
      <c r="R78" s="14">
        <f t="shared" si="12"/>
        <v>0.94008427118644067</v>
      </c>
      <c r="AG78" s="14">
        <f t="shared" si="9"/>
        <v>5.2707952404033032E-3</v>
      </c>
    </row>
    <row r="79" spans="1:33" x14ac:dyDescent="0.25">
      <c r="A79" t="s">
        <v>219</v>
      </c>
      <c r="B79" t="s">
        <v>220</v>
      </c>
      <c r="C79">
        <v>45552</v>
      </c>
      <c r="D79">
        <v>280000</v>
      </c>
      <c r="E79">
        <v>271600</v>
      </c>
      <c r="F79">
        <v>44200</v>
      </c>
      <c r="G79">
        <v>216697</v>
      </c>
      <c r="H79" s="1">
        <f t="shared" si="10"/>
        <v>221030.94</v>
      </c>
      <c r="I79">
        <v>2</v>
      </c>
      <c r="J79">
        <v>6353510</v>
      </c>
      <c r="K79" t="s">
        <v>55</v>
      </c>
      <c r="L79">
        <v>0.17</v>
      </c>
      <c r="M79">
        <v>1046</v>
      </c>
      <c r="N79">
        <v>1974</v>
      </c>
      <c r="O79">
        <v>20</v>
      </c>
      <c r="P79" s="14">
        <f t="shared" si="11"/>
        <v>0.96059278350515465</v>
      </c>
      <c r="Q79">
        <v>3</v>
      </c>
      <c r="R79" s="14">
        <f t="shared" si="12"/>
        <v>0.97654985272459505</v>
      </c>
      <c r="AG79" s="14">
        <f t="shared" si="9"/>
        <v>4.1736376778557682E-2</v>
      </c>
    </row>
    <row r="80" spans="1:33" x14ac:dyDescent="0.25">
      <c r="A80" t="s">
        <v>221</v>
      </c>
      <c r="B80" t="s">
        <v>222</v>
      </c>
      <c r="C80">
        <v>45586</v>
      </c>
      <c r="D80">
        <v>255000</v>
      </c>
      <c r="E80">
        <v>248350</v>
      </c>
      <c r="F80">
        <v>39400</v>
      </c>
      <c r="G80">
        <v>195743</v>
      </c>
      <c r="H80" s="1">
        <f t="shared" si="10"/>
        <v>199657.86</v>
      </c>
      <c r="I80">
        <v>2</v>
      </c>
      <c r="J80">
        <v>6353510</v>
      </c>
      <c r="K80" t="s">
        <v>55</v>
      </c>
      <c r="L80">
        <v>0.14000000000000001</v>
      </c>
      <c r="M80">
        <v>1056</v>
      </c>
      <c r="N80">
        <v>1974</v>
      </c>
      <c r="O80">
        <v>20</v>
      </c>
      <c r="P80" s="14">
        <f t="shared" si="11"/>
        <v>0.9468210187235756</v>
      </c>
      <c r="Q80">
        <v>3</v>
      </c>
      <c r="R80" s="14">
        <f t="shared" si="12"/>
        <v>0.9625844976847191</v>
      </c>
      <c r="AG80" s="14">
        <f t="shared" si="9"/>
        <v>2.7771021738681734E-2</v>
      </c>
    </row>
    <row r="81" spans="1:33" x14ac:dyDescent="0.25">
      <c r="A81" t="s">
        <v>223</v>
      </c>
      <c r="B81" t="s">
        <v>224</v>
      </c>
      <c r="C81">
        <v>45362</v>
      </c>
      <c r="D81">
        <v>425000</v>
      </c>
      <c r="E81">
        <v>412550</v>
      </c>
      <c r="F81">
        <v>42850</v>
      </c>
      <c r="G81">
        <v>272222</v>
      </c>
      <c r="H81" s="1">
        <f t="shared" si="10"/>
        <v>277666.44</v>
      </c>
      <c r="I81">
        <v>2</v>
      </c>
      <c r="J81">
        <v>3211548</v>
      </c>
      <c r="K81" t="s">
        <v>78</v>
      </c>
      <c r="L81">
        <v>7.15</v>
      </c>
      <c r="M81">
        <v>1944</v>
      </c>
      <c r="N81">
        <v>1960</v>
      </c>
      <c r="O81">
        <v>26</v>
      </c>
      <c r="P81" s="14">
        <f t="shared" si="11"/>
        <v>0.76371833717125193</v>
      </c>
      <c r="Q81">
        <v>3</v>
      </c>
      <c r="R81" s="14">
        <f t="shared" si="12"/>
        <v>0.776915379953945</v>
      </c>
      <c r="AG81" s="14">
        <f t="shared" si="9"/>
        <v>0.15789809599209237</v>
      </c>
    </row>
    <row r="82" spans="1:33" x14ac:dyDescent="0.25">
      <c r="A82" t="s">
        <v>225</v>
      </c>
      <c r="B82" t="s">
        <v>226</v>
      </c>
      <c r="C82">
        <v>45399</v>
      </c>
      <c r="D82">
        <v>382000</v>
      </c>
      <c r="E82">
        <v>382000</v>
      </c>
      <c r="F82">
        <v>260728</v>
      </c>
      <c r="G82">
        <v>0</v>
      </c>
      <c r="H82" s="1">
        <f t="shared" si="10"/>
        <v>0</v>
      </c>
      <c r="I82">
        <v>2</v>
      </c>
      <c r="J82">
        <v>6353519</v>
      </c>
      <c r="K82" t="s">
        <v>55</v>
      </c>
      <c r="L82">
        <v>0.26</v>
      </c>
      <c r="M82">
        <v>1698</v>
      </c>
      <c r="N82">
        <v>2023</v>
      </c>
      <c r="O82">
        <v>1</v>
      </c>
      <c r="P82" s="14">
        <f t="shared" si="11"/>
        <v>0.68253403141361257</v>
      </c>
      <c r="Q82">
        <v>3</v>
      </c>
      <c r="R82" s="14">
        <f t="shared" si="12"/>
        <v>0.68253403141361257</v>
      </c>
      <c r="AG82" s="14">
        <f t="shared" si="9"/>
        <v>0.25227944453242479</v>
      </c>
    </row>
    <row r="83" spans="1:33" x14ac:dyDescent="0.25">
      <c r="A83" t="s">
        <v>227</v>
      </c>
      <c r="B83" t="s">
        <v>228</v>
      </c>
      <c r="C83">
        <v>45391</v>
      </c>
      <c r="D83">
        <v>182000</v>
      </c>
      <c r="E83">
        <v>182000</v>
      </c>
      <c r="F83">
        <v>43500</v>
      </c>
      <c r="G83">
        <v>126390</v>
      </c>
      <c r="H83" s="1">
        <f t="shared" si="10"/>
        <v>128917.8</v>
      </c>
      <c r="I83">
        <v>3</v>
      </c>
      <c r="J83">
        <v>6322246</v>
      </c>
      <c r="K83" t="s">
        <v>91</v>
      </c>
      <c r="L83">
        <v>3</v>
      </c>
      <c r="M83">
        <v>1176</v>
      </c>
      <c r="N83">
        <v>1980</v>
      </c>
      <c r="O83">
        <v>18</v>
      </c>
      <c r="P83" s="14">
        <f t="shared" si="11"/>
        <v>0.93346153846153845</v>
      </c>
      <c r="Q83">
        <v>2.5</v>
      </c>
      <c r="R83" s="14">
        <f t="shared" si="12"/>
        <v>0.94735054945054942</v>
      </c>
      <c r="AG83" s="14">
        <f t="shared" si="9"/>
        <v>1.2537073504512053E-2</v>
      </c>
    </row>
    <row r="84" spans="1:33" x14ac:dyDescent="0.25">
      <c r="A84" t="s">
        <v>229</v>
      </c>
      <c r="B84" t="s">
        <v>230</v>
      </c>
      <c r="C84">
        <v>45320</v>
      </c>
      <c r="D84">
        <v>365000</v>
      </c>
      <c r="E84">
        <v>354500</v>
      </c>
      <c r="F84">
        <v>54295</v>
      </c>
      <c r="G84">
        <v>276843</v>
      </c>
      <c r="H84" s="1">
        <f t="shared" si="10"/>
        <v>282379.86</v>
      </c>
      <c r="I84">
        <v>2</v>
      </c>
      <c r="J84">
        <v>3253519</v>
      </c>
      <c r="K84" t="s">
        <v>55</v>
      </c>
      <c r="L84">
        <v>0.18</v>
      </c>
      <c r="M84">
        <v>1686</v>
      </c>
      <c r="N84">
        <v>2015</v>
      </c>
      <c r="O84">
        <v>4</v>
      </c>
      <c r="P84" s="14">
        <f t="shared" si="11"/>
        <v>0.93409873060648796</v>
      </c>
      <c r="Q84">
        <v>3</v>
      </c>
      <c r="R84" s="14">
        <f t="shared" si="12"/>
        <v>0.94971751763046541</v>
      </c>
      <c r="AG84" s="14">
        <f t="shared" si="9"/>
        <v>1.4904041684428049E-2</v>
      </c>
    </row>
    <row r="85" spans="1:33" x14ac:dyDescent="0.25">
      <c r="A85" t="s">
        <v>231</v>
      </c>
      <c r="B85" t="s">
        <v>232</v>
      </c>
      <c r="C85">
        <v>45540</v>
      </c>
      <c r="D85">
        <v>253800</v>
      </c>
      <c r="E85">
        <v>250000</v>
      </c>
      <c r="F85">
        <v>42600</v>
      </c>
      <c r="G85">
        <v>198484</v>
      </c>
      <c r="H85" s="1">
        <f t="shared" si="10"/>
        <v>202453.68</v>
      </c>
      <c r="I85">
        <v>2</v>
      </c>
      <c r="J85">
        <v>6353510</v>
      </c>
      <c r="K85" t="s">
        <v>55</v>
      </c>
      <c r="L85">
        <v>0.16</v>
      </c>
      <c r="M85">
        <v>1008</v>
      </c>
      <c r="N85">
        <v>1978</v>
      </c>
      <c r="O85">
        <v>14</v>
      </c>
      <c r="P85" s="14">
        <f t="shared" si="11"/>
        <v>0.96433599999999997</v>
      </c>
      <c r="Q85">
        <v>3</v>
      </c>
      <c r="R85" s="14">
        <f t="shared" si="12"/>
        <v>0.98021471999999998</v>
      </c>
      <c r="AG85" s="14">
        <f t="shared" si="9"/>
        <v>4.5401244053962619E-2</v>
      </c>
    </row>
    <row r="86" spans="1:33" x14ac:dyDescent="0.25">
      <c r="A86" t="s">
        <v>233</v>
      </c>
      <c r="B86" t="s">
        <v>234</v>
      </c>
      <c r="C86">
        <v>45435</v>
      </c>
      <c r="D86">
        <v>429900</v>
      </c>
      <c r="E86">
        <v>429900</v>
      </c>
      <c r="F86">
        <v>55195</v>
      </c>
      <c r="G86">
        <v>348043</v>
      </c>
      <c r="H86" s="1">
        <f t="shared" si="10"/>
        <v>355003.86</v>
      </c>
      <c r="I86">
        <v>2</v>
      </c>
      <c r="J86">
        <v>6353519</v>
      </c>
      <c r="K86" t="s">
        <v>55</v>
      </c>
      <c r="L86">
        <v>0.3</v>
      </c>
      <c r="M86">
        <v>3400</v>
      </c>
      <c r="N86">
        <v>2024</v>
      </c>
      <c r="O86">
        <v>1</v>
      </c>
      <c r="P86" s="14">
        <f t="shared" si="11"/>
        <v>0.9379809257966969</v>
      </c>
      <c r="Q86">
        <v>3.5</v>
      </c>
      <c r="R86" s="14">
        <f t="shared" si="12"/>
        <v>0.95417273784601064</v>
      </c>
      <c r="AG86" s="14">
        <f t="shared" si="9"/>
        <v>1.9359261899973279E-2</v>
      </c>
    </row>
    <row r="87" spans="1:33" x14ac:dyDescent="0.25">
      <c r="A87" t="s">
        <v>235</v>
      </c>
      <c r="B87" t="s">
        <v>236</v>
      </c>
      <c r="C87">
        <v>45352</v>
      </c>
      <c r="D87">
        <v>325000</v>
      </c>
      <c r="E87">
        <v>325000</v>
      </c>
      <c r="F87">
        <v>57000</v>
      </c>
      <c r="G87">
        <v>231763</v>
      </c>
      <c r="H87" s="1">
        <f t="shared" si="10"/>
        <v>236398.26</v>
      </c>
      <c r="I87">
        <v>2</v>
      </c>
      <c r="J87">
        <v>6353510</v>
      </c>
      <c r="K87" t="s">
        <v>55</v>
      </c>
      <c r="L87">
        <v>0.25</v>
      </c>
      <c r="M87">
        <v>2500</v>
      </c>
      <c r="N87">
        <v>1973</v>
      </c>
      <c r="O87">
        <v>0</v>
      </c>
      <c r="P87" s="14">
        <f t="shared" si="11"/>
        <v>0.88850153846153845</v>
      </c>
      <c r="Q87">
        <v>3</v>
      </c>
      <c r="R87" s="14">
        <f t="shared" si="12"/>
        <v>0.90276387692307691</v>
      </c>
      <c r="AG87" s="14">
        <f t="shared" si="9"/>
        <v>3.2049599022960451E-2</v>
      </c>
    </row>
    <row r="88" spans="1:33" x14ac:dyDescent="0.25">
      <c r="A88" t="s">
        <v>237</v>
      </c>
      <c r="B88" t="s">
        <v>238</v>
      </c>
      <c r="C88">
        <v>45399</v>
      </c>
      <c r="D88">
        <v>385000</v>
      </c>
      <c r="E88">
        <v>373450</v>
      </c>
      <c r="F88">
        <v>54076</v>
      </c>
      <c r="G88">
        <v>300629</v>
      </c>
      <c r="H88" s="1">
        <f t="shared" si="10"/>
        <v>306641.58</v>
      </c>
      <c r="I88">
        <v>2</v>
      </c>
      <c r="J88">
        <v>6353519</v>
      </c>
      <c r="K88" t="s">
        <v>55</v>
      </c>
      <c r="L88">
        <v>0.16</v>
      </c>
      <c r="M88">
        <v>1256</v>
      </c>
      <c r="N88">
        <v>2015</v>
      </c>
      <c r="O88">
        <v>4</v>
      </c>
      <c r="P88" s="14">
        <f t="shared" si="11"/>
        <v>0.94980586423885394</v>
      </c>
      <c r="Q88">
        <v>3</v>
      </c>
      <c r="R88" s="14">
        <f t="shared" si="12"/>
        <v>0.96590595795956624</v>
      </c>
      <c r="AG88" s="14">
        <f t="shared" si="9"/>
        <v>3.1092482013528877E-2</v>
      </c>
    </row>
    <row r="89" spans="1:33" x14ac:dyDescent="0.25">
      <c r="A89" t="s">
        <v>239</v>
      </c>
      <c r="B89" t="s">
        <v>240</v>
      </c>
      <c r="C89">
        <v>45391</v>
      </c>
      <c r="D89">
        <v>645950</v>
      </c>
      <c r="E89">
        <v>645950</v>
      </c>
      <c r="F89">
        <v>32447</v>
      </c>
      <c r="G89">
        <v>557193</v>
      </c>
      <c r="H89" s="1">
        <f t="shared" si="10"/>
        <v>568336.86</v>
      </c>
      <c r="I89">
        <v>1</v>
      </c>
      <c r="J89">
        <v>5153513</v>
      </c>
      <c r="K89" t="s">
        <v>241</v>
      </c>
      <c r="L89">
        <v>16.760000000000002</v>
      </c>
      <c r="M89">
        <v>3058</v>
      </c>
      <c r="N89">
        <v>2014</v>
      </c>
      <c r="O89">
        <v>4</v>
      </c>
      <c r="P89" s="14">
        <f t="shared" si="11"/>
        <v>0.91282607012926698</v>
      </c>
      <c r="Q89">
        <v>3</v>
      </c>
      <c r="R89" s="14">
        <f t="shared" si="12"/>
        <v>0.93007796269061072</v>
      </c>
      <c r="AG89" s="14">
        <f t="shared" si="9"/>
        <v>4.7355132554266488E-3</v>
      </c>
    </row>
    <row r="90" spans="1:33" x14ac:dyDescent="0.25">
      <c r="A90" t="s">
        <v>242</v>
      </c>
      <c r="B90" t="s">
        <v>243</v>
      </c>
      <c r="C90">
        <v>45596</v>
      </c>
      <c r="D90">
        <v>291500</v>
      </c>
      <c r="E90">
        <v>291500</v>
      </c>
      <c r="F90">
        <v>321986</v>
      </c>
      <c r="G90">
        <v>0</v>
      </c>
      <c r="H90" s="1">
        <f t="shared" si="10"/>
        <v>0</v>
      </c>
      <c r="I90">
        <v>2</v>
      </c>
      <c r="J90">
        <v>6353519</v>
      </c>
      <c r="K90" t="s">
        <v>55</v>
      </c>
      <c r="L90">
        <v>0.18</v>
      </c>
      <c r="M90">
        <v>1416</v>
      </c>
      <c r="N90">
        <v>2016</v>
      </c>
      <c r="O90">
        <v>3</v>
      </c>
      <c r="P90" s="14">
        <f t="shared" si="11"/>
        <v>1.1045831903945111</v>
      </c>
      <c r="Q90">
        <v>3</v>
      </c>
      <c r="R90" s="14">
        <f t="shared" si="12"/>
        <v>1.1045831903945111</v>
      </c>
      <c r="AG90" s="14">
        <f t="shared" si="9"/>
        <v>0.16976971444847377</v>
      </c>
    </row>
    <row r="91" spans="1:33" x14ac:dyDescent="0.25">
      <c r="A91" t="s">
        <v>244</v>
      </c>
      <c r="B91" t="s">
        <v>245</v>
      </c>
      <c r="C91">
        <v>45461</v>
      </c>
      <c r="D91">
        <v>499500</v>
      </c>
      <c r="E91">
        <v>490000</v>
      </c>
      <c r="F91">
        <v>50640</v>
      </c>
      <c r="G91">
        <v>416805</v>
      </c>
      <c r="H91" s="1">
        <f t="shared" si="10"/>
        <v>425141.1</v>
      </c>
      <c r="I91">
        <v>2</v>
      </c>
      <c r="J91">
        <v>6353516</v>
      </c>
      <c r="K91" t="s">
        <v>55</v>
      </c>
      <c r="L91">
        <v>0.28999999999999998</v>
      </c>
      <c r="M91">
        <v>1939</v>
      </c>
      <c r="N91">
        <v>2011</v>
      </c>
      <c r="O91">
        <v>6</v>
      </c>
      <c r="P91" s="14">
        <f t="shared" si="11"/>
        <v>0.95396938775510209</v>
      </c>
      <c r="Q91">
        <v>3.5</v>
      </c>
      <c r="R91" s="14">
        <f t="shared" si="12"/>
        <v>0.97098183673469385</v>
      </c>
      <c r="AG91" s="14">
        <f t="shared" si="9"/>
        <v>3.6168360788656484E-2</v>
      </c>
    </row>
    <row r="92" spans="1:33" x14ac:dyDescent="0.25">
      <c r="A92" t="s">
        <v>246</v>
      </c>
      <c r="B92" t="s">
        <v>247</v>
      </c>
      <c r="C92">
        <v>45421</v>
      </c>
      <c r="D92">
        <v>72000</v>
      </c>
      <c r="E92">
        <v>72000</v>
      </c>
      <c r="F92">
        <v>31500</v>
      </c>
      <c r="G92">
        <v>33219</v>
      </c>
      <c r="H92" s="1">
        <f t="shared" si="10"/>
        <v>33883.379999999997</v>
      </c>
      <c r="I92">
        <v>3</v>
      </c>
      <c r="J92">
        <v>8222715</v>
      </c>
      <c r="K92" t="s">
        <v>140</v>
      </c>
      <c r="L92">
        <v>5</v>
      </c>
      <c r="M92">
        <v>320</v>
      </c>
      <c r="N92">
        <v>2014</v>
      </c>
      <c r="O92">
        <v>4</v>
      </c>
      <c r="P92" s="14">
        <f t="shared" si="11"/>
        <v>0.89887499999999998</v>
      </c>
      <c r="Q92">
        <v>3</v>
      </c>
      <c r="R92" s="14">
        <f t="shared" si="12"/>
        <v>0.90810249999999992</v>
      </c>
      <c r="AG92" s="14">
        <f t="shared" si="9"/>
        <v>2.6710975946037441E-2</v>
      </c>
    </row>
    <row r="93" spans="1:33" x14ac:dyDescent="0.25">
      <c r="A93" t="s">
        <v>248</v>
      </c>
      <c r="B93" t="s">
        <v>249</v>
      </c>
      <c r="C93">
        <v>45442</v>
      </c>
      <c r="D93">
        <v>550000</v>
      </c>
      <c r="E93">
        <v>550000</v>
      </c>
      <c r="F93">
        <v>55840</v>
      </c>
      <c r="G93">
        <v>470211</v>
      </c>
      <c r="H93" s="1">
        <f t="shared" si="10"/>
        <v>479615.22</v>
      </c>
      <c r="I93">
        <v>2</v>
      </c>
      <c r="J93">
        <v>6353516</v>
      </c>
      <c r="K93" t="s">
        <v>55</v>
      </c>
      <c r="L93">
        <v>0.34</v>
      </c>
      <c r="M93">
        <v>1564</v>
      </c>
      <c r="N93">
        <v>2004</v>
      </c>
      <c r="O93">
        <v>8</v>
      </c>
      <c r="P93" s="14">
        <f t="shared" si="11"/>
        <v>0.95645636363636366</v>
      </c>
      <c r="Q93">
        <v>3.5</v>
      </c>
      <c r="R93" s="14">
        <f t="shared" si="12"/>
        <v>0.97355494545454535</v>
      </c>
      <c r="AG93" s="14">
        <f t="shared" si="9"/>
        <v>3.8741469508507986E-2</v>
      </c>
    </row>
    <row r="94" spans="1:33" x14ac:dyDescent="0.25">
      <c r="A94" t="s">
        <v>250</v>
      </c>
      <c r="B94" t="s">
        <v>251</v>
      </c>
      <c r="C94">
        <v>45408</v>
      </c>
      <c r="D94">
        <v>350000</v>
      </c>
      <c r="E94">
        <v>350000</v>
      </c>
      <c r="F94">
        <v>49770</v>
      </c>
      <c r="G94">
        <v>288655</v>
      </c>
      <c r="H94" s="1">
        <f t="shared" si="10"/>
        <v>294428.09999999998</v>
      </c>
      <c r="I94">
        <v>2</v>
      </c>
      <c r="J94">
        <v>1353156</v>
      </c>
      <c r="K94" t="s">
        <v>183</v>
      </c>
      <c r="L94">
        <v>1.77</v>
      </c>
      <c r="M94">
        <v>2030</v>
      </c>
      <c r="N94">
        <v>2000</v>
      </c>
      <c r="O94">
        <v>10</v>
      </c>
      <c r="P94" s="14">
        <f t="shared" si="11"/>
        <v>0.96692857142857147</v>
      </c>
      <c r="Q94">
        <v>3</v>
      </c>
      <c r="R94" s="14">
        <f t="shared" si="12"/>
        <v>0.98342314285714283</v>
      </c>
      <c r="AG94" s="14">
        <f t="shared" si="9"/>
        <v>4.8609666911105465E-2</v>
      </c>
    </row>
    <row r="95" spans="1:33" x14ac:dyDescent="0.25">
      <c r="A95" t="s">
        <v>252</v>
      </c>
      <c r="B95" t="s">
        <v>253</v>
      </c>
      <c r="C95">
        <v>45337</v>
      </c>
      <c r="D95">
        <v>615000</v>
      </c>
      <c r="E95">
        <v>615000</v>
      </c>
      <c r="F95">
        <v>58870</v>
      </c>
      <c r="G95">
        <v>536803</v>
      </c>
      <c r="H95" s="1">
        <f t="shared" si="10"/>
        <v>547539.06000000006</v>
      </c>
      <c r="I95">
        <v>2</v>
      </c>
      <c r="J95">
        <v>6353516</v>
      </c>
      <c r="K95" t="s">
        <v>55</v>
      </c>
      <c r="L95">
        <v>0.37</v>
      </c>
      <c r="M95">
        <v>2330</v>
      </c>
      <c r="N95">
        <v>2012</v>
      </c>
      <c r="O95">
        <v>5</v>
      </c>
      <c r="P95" s="14">
        <f t="shared" si="11"/>
        <v>0.96857398373983739</v>
      </c>
      <c r="Q95">
        <v>3.5</v>
      </c>
      <c r="R95" s="14">
        <f t="shared" si="12"/>
        <v>0.98603099186991883</v>
      </c>
      <c r="AG95" s="14">
        <f t="shared" si="9"/>
        <v>5.1217515923881463E-2</v>
      </c>
    </row>
    <row r="96" spans="1:33" x14ac:dyDescent="0.25">
      <c r="A96" t="s">
        <v>254</v>
      </c>
      <c r="B96" t="s">
        <v>255</v>
      </c>
      <c r="C96">
        <v>45421</v>
      </c>
      <c r="D96">
        <v>559000</v>
      </c>
      <c r="E96">
        <v>550626</v>
      </c>
      <c r="F96">
        <v>43680</v>
      </c>
      <c r="G96">
        <v>387581</v>
      </c>
      <c r="H96" s="1">
        <f t="shared" si="10"/>
        <v>395332.62</v>
      </c>
      <c r="I96">
        <v>2</v>
      </c>
      <c r="J96">
        <v>6353516</v>
      </c>
      <c r="K96" t="s">
        <v>55</v>
      </c>
      <c r="L96">
        <v>0.23</v>
      </c>
      <c r="M96">
        <v>3647</v>
      </c>
      <c r="N96">
        <v>2011</v>
      </c>
      <c r="O96">
        <v>6</v>
      </c>
      <c r="P96" s="14">
        <f t="shared" si="11"/>
        <v>0.78321946293854627</v>
      </c>
      <c r="Q96">
        <v>4</v>
      </c>
      <c r="R96" s="14">
        <f t="shared" si="12"/>
        <v>0.79729729435224639</v>
      </c>
      <c r="AG96" s="14">
        <f t="shared" si="9"/>
        <v>0.13751618159379098</v>
      </c>
    </row>
    <row r="97" spans="1:33" x14ac:dyDescent="0.25">
      <c r="A97" t="s">
        <v>256</v>
      </c>
      <c r="B97" t="s">
        <v>257</v>
      </c>
      <c r="C97">
        <v>45634</v>
      </c>
      <c r="D97">
        <v>305000</v>
      </c>
      <c r="E97">
        <v>305000</v>
      </c>
      <c r="F97">
        <v>35750</v>
      </c>
      <c r="G97">
        <v>260484</v>
      </c>
      <c r="H97" s="1">
        <f t="shared" si="10"/>
        <v>265693.68</v>
      </c>
      <c r="I97">
        <v>1</v>
      </c>
      <c r="J97">
        <v>5133573</v>
      </c>
      <c r="K97" t="s">
        <v>137</v>
      </c>
      <c r="L97">
        <v>2.94</v>
      </c>
      <c r="M97">
        <v>1792</v>
      </c>
      <c r="N97">
        <v>2007</v>
      </c>
      <c r="O97">
        <v>7</v>
      </c>
      <c r="P97" s="14">
        <f t="shared" si="11"/>
        <v>0.97125901639344259</v>
      </c>
      <c r="Q97">
        <v>2</v>
      </c>
      <c r="R97" s="14">
        <f t="shared" si="12"/>
        <v>0.98833993442622947</v>
      </c>
      <c r="AG97" s="14">
        <f t="shared" si="9"/>
        <v>5.3526458480192107E-2</v>
      </c>
    </row>
    <row r="98" spans="1:33" x14ac:dyDescent="0.25">
      <c r="A98" t="s">
        <v>258</v>
      </c>
      <c r="B98" t="s">
        <v>259</v>
      </c>
      <c r="C98">
        <v>45412</v>
      </c>
      <c r="D98">
        <v>615000</v>
      </c>
      <c r="E98">
        <v>605000</v>
      </c>
      <c r="F98">
        <v>54000</v>
      </c>
      <c r="G98">
        <v>536130</v>
      </c>
      <c r="H98" s="1">
        <f t="shared" si="10"/>
        <v>546852.6</v>
      </c>
      <c r="I98">
        <v>2</v>
      </c>
      <c r="J98">
        <v>1353156</v>
      </c>
      <c r="K98" t="s">
        <v>183</v>
      </c>
      <c r="L98">
        <v>6</v>
      </c>
      <c r="M98">
        <v>2400</v>
      </c>
      <c r="N98">
        <v>2015</v>
      </c>
      <c r="O98">
        <v>4</v>
      </c>
      <c r="P98" s="14">
        <f t="shared" si="11"/>
        <v>0.97542148760330583</v>
      </c>
      <c r="Q98">
        <v>4</v>
      </c>
      <c r="R98" s="14">
        <f t="shared" si="12"/>
        <v>0.99314479338842976</v>
      </c>
      <c r="AG98" s="14">
        <f t="shared" si="9"/>
        <v>5.8331317442392394E-2</v>
      </c>
    </row>
    <row r="99" spans="1:33" x14ac:dyDescent="0.25">
      <c r="A99" t="s">
        <v>260</v>
      </c>
      <c r="B99" t="s">
        <v>261</v>
      </c>
      <c r="C99">
        <v>45359</v>
      </c>
      <c r="D99">
        <v>739000</v>
      </c>
      <c r="E99">
        <v>739000</v>
      </c>
      <c r="F99">
        <v>95705</v>
      </c>
      <c r="G99">
        <v>638137</v>
      </c>
      <c r="H99" s="1">
        <f t="shared" si="10"/>
        <v>650899.74</v>
      </c>
      <c r="I99">
        <v>2</v>
      </c>
      <c r="J99">
        <v>6353515</v>
      </c>
      <c r="K99" t="s">
        <v>55</v>
      </c>
      <c r="L99">
        <v>0.48</v>
      </c>
      <c r="M99">
        <v>4578</v>
      </c>
      <c r="N99">
        <v>2014</v>
      </c>
      <c r="O99">
        <v>0</v>
      </c>
      <c r="P99" s="14">
        <f t="shared" si="11"/>
        <v>0.9930202976995941</v>
      </c>
      <c r="Q99">
        <v>3</v>
      </c>
      <c r="R99" s="14">
        <f t="shared" si="12"/>
        <v>1.0102905818673884</v>
      </c>
      <c r="AG99" s="14">
        <f t="shared" si="9"/>
        <v>7.547710592135104E-2</v>
      </c>
    </row>
    <row r="100" spans="1:33" x14ac:dyDescent="0.25">
      <c r="A100" t="s">
        <v>262</v>
      </c>
      <c r="B100" t="s">
        <v>263</v>
      </c>
      <c r="C100">
        <v>45303</v>
      </c>
      <c r="D100">
        <v>220000</v>
      </c>
      <c r="E100">
        <v>220000</v>
      </c>
      <c r="F100">
        <v>61200</v>
      </c>
      <c r="G100">
        <v>231760</v>
      </c>
      <c r="H100" s="1">
        <f t="shared" si="10"/>
        <v>236395.2</v>
      </c>
      <c r="I100">
        <v>2</v>
      </c>
      <c r="J100">
        <v>6353510</v>
      </c>
      <c r="K100" t="s">
        <v>55</v>
      </c>
      <c r="L100">
        <v>0.49</v>
      </c>
      <c r="M100">
        <v>2468</v>
      </c>
      <c r="N100">
        <v>1919</v>
      </c>
      <c r="O100">
        <v>31</v>
      </c>
      <c r="P100" s="14">
        <f t="shared" si="11"/>
        <v>1.3316363636363637</v>
      </c>
      <c r="Q100">
        <v>2.5</v>
      </c>
      <c r="R100" s="14">
        <f t="shared" si="12"/>
        <v>1.3527054545454547</v>
      </c>
      <c r="AG100" s="14">
        <f t="shared" si="9"/>
        <v>0.41789197859941729</v>
      </c>
    </row>
    <row r="101" spans="1:33" x14ac:dyDescent="0.25">
      <c r="A101" t="s">
        <v>264</v>
      </c>
      <c r="B101" t="s">
        <v>265</v>
      </c>
      <c r="C101">
        <v>45331</v>
      </c>
      <c r="D101">
        <v>315000</v>
      </c>
      <c r="E101">
        <v>306000</v>
      </c>
      <c r="F101">
        <v>33050</v>
      </c>
      <c r="G101">
        <v>273794</v>
      </c>
      <c r="H101" s="1">
        <f t="shared" si="10"/>
        <v>279269.88</v>
      </c>
      <c r="I101">
        <v>2</v>
      </c>
      <c r="J101">
        <v>3211548</v>
      </c>
      <c r="K101" t="s">
        <v>60</v>
      </c>
      <c r="L101">
        <v>1.81</v>
      </c>
      <c r="M101">
        <v>1762</v>
      </c>
      <c r="N101">
        <v>1900</v>
      </c>
      <c r="O101">
        <v>34</v>
      </c>
      <c r="P101" s="14">
        <f t="shared" si="11"/>
        <v>1.0027581699346406</v>
      </c>
      <c r="Q101">
        <v>2.5</v>
      </c>
      <c r="R101" s="14">
        <f t="shared" si="12"/>
        <v>1.0206532026143791</v>
      </c>
      <c r="AG101" s="14">
        <f t="shared" si="9"/>
        <v>8.583972666834172E-2</v>
      </c>
    </row>
    <row r="102" spans="1:33" x14ac:dyDescent="0.25">
      <c r="A102" t="s">
        <v>266</v>
      </c>
      <c r="B102" t="s">
        <v>267</v>
      </c>
      <c r="C102">
        <v>45510</v>
      </c>
      <c r="D102">
        <v>305000</v>
      </c>
      <c r="E102">
        <v>295000</v>
      </c>
      <c r="F102">
        <v>63680</v>
      </c>
      <c r="G102">
        <v>242511</v>
      </c>
      <c r="H102" s="1">
        <f t="shared" si="10"/>
        <v>247361.22</v>
      </c>
      <c r="I102">
        <v>3</v>
      </c>
      <c r="J102">
        <v>2363717</v>
      </c>
      <c r="K102" t="s">
        <v>134</v>
      </c>
      <c r="L102">
        <v>4.96</v>
      </c>
      <c r="M102">
        <v>1296</v>
      </c>
      <c r="N102">
        <v>2005</v>
      </c>
      <c r="O102">
        <v>8</v>
      </c>
      <c r="P102" s="14">
        <f t="shared" si="11"/>
        <v>1.0379355932203389</v>
      </c>
      <c r="Q102">
        <v>3</v>
      </c>
      <c r="R102" s="14">
        <f t="shared" si="12"/>
        <v>1.0543770169491524</v>
      </c>
      <c r="AG102" s="14">
        <f t="shared" si="9"/>
        <v>0.11956354100311506</v>
      </c>
    </row>
    <row r="103" spans="1:33" x14ac:dyDescent="0.25">
      <c r="A103" t="s">
        <v>268</v>
      </c>
      <c r="B103" t="s">
        <v>269</v>
      </c>
      <c r="C103">
        <v>45376</v>
      </c>
      <c r="D103">
        <v>625000</v>
      </c>
      <c r="E103">
        <v>623438</v>
      </c>
      <c r="F103">
        <v>74000</v>
      </c>
      <c r="G103">
        <v>524158</v>
      </c>
      <c r="H103" s="1">
        <f t="shared" si="10"/>
        <v>534641.16</v>
      </c>
      <c r="I103">
        <v>3</v>
      </c>
      <c r="J103">
        <v>1211575</v>
      </c>
      <c r="K103" t="s">
        <v>25</v>
      </c>
      <c r="L103">
        <v>5</v>
      </c>
      <c r="M103">
        <v>1927</v>
      </c>
      <c r="N103">
        <v>1998</v>
      </c>
      <c r="O103">
        <v>10</v>
      </c>
      <c r="P103" s="14">
        <f t="shared" si="11"/>
        <v>0.95945065908719074</v>
      </c>
      <c r="Q103">
        <v>3.5</v>
      </c>
      <c r="R103" s="14">
        <f t="shared" si="12"/>
        <v>0.97626573933574801</v>
      </c>
      <c r="AG103" s="14">
        <f t="shared" si="9"/>
        <v>4.1452263389710642E-2</v>
      </c>
    </row>
    <row r="104" spans="1:33" x14ac:dyDescent="0.25">
      <c r="A104" t="s">
        <v>270</v>
      </c>
      <c r="B104" t="s">
        <v>271</v>
      </c>
      <c r="C104">
        <v>45457</v>
      </c>
      <c r="D104">
        <v>490000</v>
      </c>
      <c r="E104">
        <v>475300</v>
      </c>
      <c r="F104">
        <v>50640</v>
      </c>
      <c r="G104">
        <v>417701</v>
      </c>
      <c r="H104" s="1">
        <f t="shared" si="10"/>
        <v>426055.02</v>
      </c>
      <c r="I104">
        <v>2</v>
      </c>
      <c r="J104">
        <v>6353516</v>
      </c>
      <c r="K104" t="s">
        <v>55</v>
      </c>
      <c r="L104">
        <v>0.28999999999999998</v>
      </c>
      <c r="M104">
        <v>1584</v>
      </c>
      <c r="N104">
        <v>2013</v>
      </c>
      <c r="O104">
        <v>5</v>
      </c>
      <c r="P104" s="14">
        <f t="shared" si="11"/>
        <v>0.98535872080791076</v>
      </c>
      <c r="Q104">
        <v>3.5</v>
      </c>
      <c r="R104" s="14">
        <f t="shared" si="12"/>
        <v>1.0029350305070481</v>
      </c>
      <c r="AG104" s="14">
        <f t="shared" si="9"/>
        <v>6.8121554561010766E-2</v>
      </c>
    </row>
    <row r="105" spans="1:33" x14ac:dyDescent="0.25">
      <c r="A105" t="s">
        <v>272</v>
      </c>
      <c r="B105" t="s">
        <v>273</v>
      </c>
      <c r="C105">
        <v>45533</v>
      </c>
      <c r="D105">
        <v>275000</v>
      </c>
      <c r="E105">
        <v>266750</v>
      </c>
      <c r="F105">
        <v>54836</v>
      </c>
      <c r="G105">
        <v>209524</v>
      </c>
      <c r="H105" s="1">
        <f t="shared" si="10"/>
        <v>213714.48</v>
      </c>
      <c r="I105">
        <v>2</v>
      </c>
      <c r="J105">
        <v>6353519</v>
      </c>
      <c r="K105" t="s">
        <v>55</v>
      </c>
      <c r="L105">
        <v>0.25</v>
      </c>
      <c r="M105">
        <v>1126</v>
      </c>
      <c r="N105">
        <v>2012</v>
      </c>
      <c r="O105">
        <v>0</v>
      </c>
      <c r="P105" s="14">
        <f t="shared" si="11"/>
        <v>0.99104029990627929</v>
      </c>
      <c r="Q105">
        <v>3</v>
      </c>
      <c r="R105" s="14">
        <f t="shared" si="12"/>
        <v>1.0067496907216493</v>
      </c>
      <c r="AG105" s="14">
        <f t="shared" si="9"/>
        <v>7.1936214775611962E-2</v>
      </c>
    </row>
    <row r="106" spans="1:33" x14ac:dyDescent="0.25">
      <c r="A106" t="s">
        <v>274</v>
      </c>
      <c r="B106" t="s">
        <v>275</v>
      </c>
      <c r="C106">
        <v>45342</v>
      </c>
      <c r="D106">
        <v>335000</v>
      </c>
      <c r="E106">
        <v>335000</v>
      </c>
      <c r="F106">
        <v>43440</v>
      </c>
      <c r="G106">
        <v>288707</v>
      </c>
      <c r="H106" s="1">
        <f t="shared" si="10"/>
        <v>294481.14</v>
      </c>
      <c r="I106">
        <v>4</v>
      </c>
      <c r="J106">
        <v>5222555</v>
      </c>
      <c r="K106" t="s">
        <v>73</v>
      </c>
      <c r="L106">
        <v>1</v>
      </c>
      <c r="M106">
        <v>2248</v>
      </c>
      <c r="N106">
        <v>1981</v>
      </c>
      <c r="O106">
        <v>0</v>
      </c>
      <c r="P106" s="14">
        <f t="shared" si="11"/>
        <v>0.99148358208955223</v>
      </c>
      <c r="Q106">
        <v>3</v>
      </c>
      <c r="R106" s="14">
        <f t="shared" si="12"/>
        <v>1.0087198208955224</v>
      </c>
      <c r="AG106" s="14">
        <f t="shared" si="9"/>
        <v>7.3906344949485003E-2</v>
      </c>
    </row>
    <row r="107" spans="1:33" x14ac:dyDescent="0.25">
      <c r="A107" t="s">
        <v>276</v>
      </c>
      <c r="B107" t="s">
        <v>277</v>
      </c>
      <c r="C107">
        <v>45475</v>
      </c>
      <c r="D107">
        <v>285000</v>
      </c>
      <c r="E107">
        <v>276000</v>
      </c>
      <c r="F107">
        <v>84000</v>
      </c>
      <c r="G107">
        <v>189684</v>
      </c>
      <c r="H107" s="1">
        <f t="shared" si="10"/>
        <v>193477.68</v>
      </c>
      <c r="I107">
        <v>4</v>
      </c>
      <c r="J107">
        <v>6111718</v>
      </c>
      <c r="K107" t="s">
        <v>73</v>
      </c>
      <c r="L107">
        <v>10</v>
      </c>
      <c r="M107">
        <v>1344</v>
      </c>
      <c r="N107">
        <v>1980</v>
      </c>
      <c r="O107">
        <v>14</v>
      </c>
      <c r="P107" s="14">
        <f t="shared" si="11"/>
        <v>0.99160869565217391</v>
      </c>
      <c r="Q107">
        <v>3</v>
      </c>
      <c r="R107" s="14">
        <f t="shared" si="12"/>
        <v>1.0053539130434783</v>
      </c>
      <c r="AG107" s="14">
        <f t="shared" si="9"/>
        <v>7.0540437097440956E-2</v>
      </c>
    </row>
    <row r="108" spans="1:33" x14ac:dyDescent="0.25">
      <c r="A108" t="s">
        <v>278</v>
      </c>
      <c r="B108" t="s">
        <v>279</v>
      </c>
      <c r="C108">
        <v>45414</v>
      </c>
      <c r="D108">
        <v>240000</v>
      </c>
      <c r="E108">
        <v>228550</v>
      </c>
      <c r="F108">
        <v>35750</v>
      </c>
      <c r="G108">
        <v>191891</v>
      </c>
      <c r="H108" s="1">
        <f t="shared" si="10"/>
        <v>195728.82</v>
      </c>
      <c r="I108">
        <v>1</v>
      </c>
      <c r="J108">
        <v>5133573</v>
      </c>
      <c r="K108" t="s">
        <v>137</v>
      </c>
      <c r="L108">
        <v>2.5</v>
      </c>
      <c r="M108">
        <v>1472</v>
      </c>
      <c r="N108">
        <v>2002</v>
      </c>
      <c r="O108">
        <v>9</v>
      </c>
      <c r="P108" s="14">
        <f t="shared" si="11"/>
        <v>0.9960227521330125</v>
      </c>
      <c r="Q108">
        <v>2.5</v>
      </c>
      <c r="R108" s="14">
        <f t="shared" si="12"/>
        <v>1.012814788886458</v>
      </c>
      <c r="AG108" s="14">
        <f t="shared" si="9"/>
        <v>7.8001312940420675E-2</v>
      </c>
    </row>
    <row r="109" spans="1:33" x14ac:dyDescent="0.25">
      <c r="A109" t="s">
        <v>280</v>
      </c>
      <c r="B109" t="s">
        <v>281</v>
      </c>
      <c r="C109">
        <v>45622</v>
      </c>
      <c r="D109">
        <v>275000</v>
      </c>
      <c r="E109">
        <v>269000</v>
      </c>
      <c r="F109">
        <v>45086</v>
      </c>
      <c r="G109">
        <v>223133</v>
      </c>
      <c r="H109" s="1">
        <f t="shared" si="10"/>
        <v>227595.66</v>
      </c>
      <c r="I109">
        <v>1</v>
      </c>
      <c r="J109">
        <v>2173157</v>
      </c>
      <c r="K109" t="s">
        <v>43</v>
      </c>
      <c r="L109">
        <v>0.26</v>
      </c>
      <c r="M109">
        <v>1878</v>
      </c>
      <c r="N109">
        <v>1943</v>
      </c>
      <c r="O109">
        <v>20</v>
      </c>
      <c r="P109" s="14">
        <f t="shared" si="11"/>
        <v>0.99709665427509298</v>
      </c>
      <c r="Q109">
        <v>3</v>
      </c>
      <c r="R109" s="14">
        <f t="shared" si="12"/>
        <v>1.013686468401487</v>
      </c>
      <c r="AG109" s="14">
        <f t="shared" si="9"/>
        <v>7.8872992455449653E-2</v>
      </c>
    </row>
    <row r="110" spans="1:33" x14ac:dyDescent="0.25">
      <c r="A110" t="s">
        <v>282</v>
      </c>
      <c r="B110" t="s">
        <v>283</v>
      </c>
      <c r="C110">
        <v>45363</v>
      </c>
      <c r="D110">
        <v>739000</v>
      </c>
      <c r="E110">
        <v>739000</v>
      </c>
      <c r="F110">
        <v>93763</v>
      </c>
      <c r="G110">
        <v>644092</v>
      </c>
      <c r="H110" s="1">
        <f t="shared" si="10"/>
        <v>656973.84</v>
      </c>
      <c r="I110">
        <v>2</v>
      </c>
      <c r="J110">
        <v>6353515</v>
      </c>
      <c r="K110" t="s">
        <v>55</v>
      </c>
      <c r="L110">
        <v>0.45</v>
      </c>
      <c r="M110">
        <v>3907</v>
      </c>
      <c r="N110">
        <v>2011</v>
      </c>
      <c r="O110">
        <v>6</v>
      </c>
      <c r="P110" s="14">
        <f t="shared" si="11"/>
        <v>0.9984506089309878</v>
      </c>
      <c r="Q110">
        <v>4</v>
      </c>
      <c r="R110" s="14">
        <f t="shared" si="12"/>
        <v>1.0158820568335589</v>
      </c>
      <c r="AG110" s="14">
        <f t="shared" si="9"/>
        <v>8.1068580887521557E-2</v>
      </c>
    </row>
    <row r="111" spans="1:33" x14ac:dyDescent="0.25">
      <c r="A111" t="s">
        <v>284</v>
      </c>
      <c r="B111" t="s">
        <v>285</v>
      </c>
      <c r="C111">
        <v>45443</v>
      </c>
      <c r="D111">
        <v>200000</v>
      </c>
      <c r="E111">
        <v>200000</v>
      </c>
      <c r="F111">
        <v>57175</v>
      </c>
      <c r="G111">
        <v>163209</v>
      </c>
      <c r="H111" s="1">
        <f t="shared" si="10"/>
        <v>166473.18</v>
      </c>
      <c r="I111">
        <v>2</v>
      </c>
      <c r="J111">
        <v>5353510</v>
      </c>
      <c r="K111" t="s">
        <v>55</v>
      </c>
      <c r="L111">
        <v>0.26</v>
      </c>
      <c r="M111">
        <v>1196</v>
      </c>
      <c r="N111">
        <v>1997</v>
      </c>
      <c r="O111">
        <v>11</v>
      </c>
      <c r="P111" s="14">
        <f t="shared" si="11"/>
        <v>1.10192</v>
      </c>
      <c r="Q111">
        <v>3</v>
      </c>
      <c r="R111" s="14">
        <f t="shared" si="12"/>
        <v>1.1182409</v>
      </c>
      <c r="AG111" s="14">
        <f t="shared" si="9"/>
        <v>0.18342742405396262</v>
      </c>
    </row>
    <row r="112" spans="1:33" x14ac:dyDescent="0.25">
      <c r="A112" t="s">
        <v>286</v>
      </c>
      <c r="B112" t="s">
        <v>287</v>
      </c>
      <c r="C112">
        <v>45572</v>
      </c>
      <c r="D112">
        <v>70000</v>
      </c>
      <c r="E112">
        <v>70000</v>
      </c>
      <c r="F112">
        <v>32000</v>
      </c>
      <c r="G112">
        <v>38020</v>
      </c>
      <c r="H112" s="1">
        <f t="shared" si="10"/>
        <v>38780.400000000001</v>
      </c>
      <c r="I112">
        <v>3</v>
      </c>
      <c r="J112">
        <v>7111517</v>
      </c>
      <c r="K112" t="s">
        <v>288</v>
      </c>
      <c r="L112">
        <v>5</v>
      </c>
      <c r="M112">
        <v>986</v>
      </c>
      <c r="N112">
        <v>1997</v>
      </c>
      <c r="O112">
        <v>28</v>
      </c>
      <c r="P112" s="14">
        <f t="shared" si="11"/>
        <v>1.0002857142857142</v>
      </c>
      <c r="Q112">
        <v>3</v>
      </c>
      <c r="R112" s="14">
        <f t="shared" si="12"/>
        <v>1.0111485714285713</v>
      </c>
      <c r="AG112" s="14">
        <f t="shared" si="9"/>
        <v>7.6335095482533921E-2</v>
      </c>
    </row>
    <row r="113" spans="1:33" x14ac:dyDescent="0.25">
      <c r="A113" t="s">
        <v>289</v>
      </c>
      <c r="B113" t="s">
        <v>290</v>
      </c>
      <c r="C113">
        <v>45443</v>
      </c>
      <c r="D113">
        <v>429900</v>
      </c>
      <c r="E113">
        <v>424900</v>
      </c>
      <c r="F113">
        <v>77000</v>
      </c>
      <c r="G113">
        <v>348654</v>
      </c>
      <c r="H113" s="1">
        <f t="shared" si="10"/>
        <v>355627.08</v>
      </c>
      <c r="I113">
        <v>2</v>
      </c>
      <c r="J113">
        <v>7172516</v>
      </c>
      <c r="K113" t="s">
        <v>78</v>
      </c>
      <c r="L113">
        <v>1.03</v>
      </c>
      <c r="M113">
        <v>1994</v>
      </c>
      <c r="N113">
        <v>2011</v>
      </c>
      <c r="O113">
        <v>6</v>
      </c>
      <c r="P113" s="14">
        <f t="shared" si="11"/>
        <v>1.0017745351847493</v>
      </c>
      <c r="Q113">
        <v>3.5</v>
      </c>
      <c r="R113" s="14">
        <f t="shared" si="12"/>
        <v>1.0181856436808661</v>
      </c>
      <c r="AG113" s="14">
        <f t="shared" si="9"/>
        <v>8.3372167734828695E-2</v>
      </c>
    </row>
    <row r="114" spans="1:33" x14ac:dyDescent="0.25">
      <c r="A114" t="s">
        <v>291</v>
      </c>
      <c r="B114" t="s">
        <v>292</v>
      </c>
      <c r="C114">
        <v>45586</v>
      </c>
      <c r="D114">
        <v>247000</v>
      </c>
      <c r="E114">
        <v>247000</v>
      </c>
      <c r="F114">
        <v>55400</v>
      </c>
      <c r="G114">
        <v>192091</v>
      </c>
      <c r="H114" s="1">
        <f t="shared" si="10"/>
        <v>195932.82</v>
      </c>
      <c r="I114">
        <v>2</v>
      </c>
      <c r="J114">
        <v>6353510</v>
      </c>
      <c r="K114" t="s">
        <v>55</v>
      </c>
      <c r="L114">
        <v>0.24</v>
      </c>
      <c r="M114">
        <v>1350</v>
      </c>
      <c r="N114">
        <v>1953</v>
      </c>
      <c r="O114">
        <v>19</v>
      </c>
      <c r="P114" s="14">
        <f t="shared" si="11"/>
        <v>1.0019878542510121</v>
      </c>
      <c r="Q114">
        <v>3</v>
      </c>
      <c r="R114" s="14">
        <f t="shared" si="12"/>
        <v>1.0175417813765182</v>
      </c>
      <c r="AG114" s="14">
        <f t="shared" si="9"/>
        <v>8.272830543048082E-2</v>
      </c>
    </row>
    <row r="115" spans="1:33" x14ac:dyDescent="0.25">
      <c r="A115" t="s">
        <v>293</v>
      </c>
      <c r="B115" t="s">
        <v>294</v>
      </c>
      <c r="C115">
        <v>45497</v>
      </c>
      <c r="D115">
        <v>330000</v>
      </c>
      <c r="E115">
        <v>330000</v>
      </c>
      <c r="F115">
        <v>74396</v>
      </c>
      <c r="G115">
        <v>257577</v>
      </c>
      <c r="H115" s="1">
        <f t="shared" si="10"/>
        <v>262728.53999999998</v>
      </c>
      <c r="I115">
        <v>3</v>
      </c>
      <c r="J115">
        <v>1211575</v>
      </c>
      <c r="K115" t="s">
        <v>25</v>
      </c>
      <c r="L115">
        <v>5.18</v>
      </c>
      <c r="M115">
        <v>1521</v>
      </c>
      <c r="N115">
        <v>2008</v>
      </c>
      <c r="O115">
        <v>7</v>
      </c>
      <c r="P115" s="14">
        <f t="shared" si="11"/>
        <v>1.0059787878787878</v>
      </c>
      <c r="Q115">
        <v>3.5</v>
      </c>
      <c r="R115" s="14">
        <f t="shared" si="12"/>
        <v>1.0215895151515151</v>
      </c>
      <c r="AG115" s="14">
        <f t="shared" si="9"/>
        <v>8.6776039205477717E-2</v>
      </c>
    </row>
    <row r="116" spans="1:33" x14ac:dyDescent="0.25">
      <c r="A116" t="s">
        <v>295</v>
      </c>
      <c r="B116" t="s">
        <v>296</v>
      </c>
      <c r="C116">
        <v>45432</v>
      </c>
      <c r="D116">
        <v>175000</v>
      </c>
      <c r="E116">
        <v>175000</v>
      </c>
      <c r="F116">
        <v>89000</v>
      </c>
      <c r="G116">
        <v>75987</v>
      </c>
      <c r="H116" s="1">
        <f t="shared" si="10"/>
        <v>77506.740000000005</v>
      </c>
      <c r="I116">
        <v>3</v>
      </c>
      <c r="J116">
        <v>6322246</v>
      </c>
      <c r="K116" t="s">
        <v>91</v>
      </c>
      <c r="L116">
        <v>10</v>
      </c>
      <c r="M116">
        <v>704</v>
      </c>
      <c r="N116">
        <v>1960</v>
      </c>
      <c r="O116">
        <v>26</v>
      </c>
      <c r="P116" s="14">
        <f t="shared" si="11"/>
        <v>0.94278285714285714</v>
      </c>
      <c r="Q116">
        <v>3</v>
      </c>
      <c r="R116" s="14">
        <f t="shared" si="12"/>
        <v>0.95146708571428562</v>
      </c>
      <c r="AG116" s="14">
        <f t="shared" si="9"/>
        <v>1.6653609768248256E-2</v>
      </c>
    </row>
    <row r="117" spans="1:33" x14ac:dyDescent="0.25">
      <c r="A117" t="s">
        <v>297</v>
      </c>
      <c r="B117" t="s">
        <v>298</v>
      </c>
      <c r="C117">
        <v>45517</v>
      </c>
      <c r="D117">
        <v>205000</v>
      </c>
      <c r="E117">
        <v>205000</v>
      </c>
      <c r="F117">
        <v>64000</v>
      </c>
      <c r="G117">
        <v>168027</v>
      </c>
      <c r="H117" s="1">
        <f t="shared" si="10"/>
        <v>171387.54</v>
      </c>
      <c r="I117">
        <v>2</v>
      </c>
      <c r="J117">
        <v>6353510</v>
      </c>
      <c r="K117" t="s">
        <v>55</v>
      </c>
      <c r="L117">
        <v>0.65</v>
      </c>
      <c r="M117">
        <v>1246</v>
      </c>
      <c r="N117">
        <v>2005</v>
      </c>
      <c r="O117">
        <v>8</v>
      </c>
      <c r="P117" s="14">
        <f t="shared" si="11"/>
        <v>1.1318390243902439</v>
      </c>
      <c r="Q117">
        <v>3</v>
      </c>
      <c r="R117" s="14">
        <f t="shared" si="12"/>
        <v>1.1482319024390244</v>
      </c>
      <c r="AG117" s="14">
        <f t="shared" si="9"/>
        <v>0.21341842649298703</v>
      </c>
    </row>
    <row r="118" spans="1:33" x14ac:dyDescent="0.25">
      <c r="A118" t="s">
        <v>299</v>
      </c>
      <c r="B118" t="s">
        <v>300</v>
      </c>
      <c r="C118">
        <v>45357</v>
      </c>
      <c r="D118">
        <v>535000</v>
      </c>
      <c r="E118">
        <v>527500</v>
      </c>
      <c r="F118">
        <v>77000</v>
      </c>
      <c r="G118">
        <v>457150</v>
      </c>
      <c r="H118" s="1">
        <f t="shared" si="10"/>
        <v>466293</v>
      </c>
      <c r="I118">
        <v>2</v>
      </c>
      <c r="J118">
        <v>7172516</v>
      </c>
      <c r="K118" t="s">
        <v>78</v>
      </c>
      <c r="L118">
        <v>1.03</v>
      </c>
      <c r="M118">
        <v>2477</v>
      </c>
      <c r="N118">
        <v>2013</v>
      </c>
      <c r="O118">
        <v>5</v>
      </c>
      <c r="P118" s="14">
        <f t="shared" si="11"/>
        <v>1.0126066350710901</v>
      </c>
      <c r="Q118">
        <v>4</v>
      </c>
      <c r="R118" s="14">
        <f t="shared" si="12"/>
        <v>1.029939336492891</v>
      </c>
      <c r="AG118" s="14">
        <f t="shared" si="9"/>
        <v>9.512586054685368E-2</v>
      </c>
    </row>
    <row r="119" spans="1:33" x14ac:dyDescent="0.25">
      <c r="A119" t="s">
        <v>301</v>
      </c>
      <c r="B119" t="s">
        <v>302</v>
      </c>
      <c r="C119">
        <v>45574</v>
      </c>
      <c r="D119">
        <v>495000</v>
      </c>
      <c r="E119">
        <v>495000</v>
      </c>
      <c r="F119">
        <v>39650</v>
      </c>
      <c r="G119">
        <v>423633</v>
      </c>
      <c r="H119" s="1">
        <f t="shared" si="10"/>
        <v>432105.66</v>
      </c>
      <c r="I119">
        <v>4</v>
      </c>
      <c r="J119">
        <v>5172568</v>
      </c>
      <c r="K119" t="s">
        <v>110</v>
      </c>
      <c r="L119">
        <v>2.13</v>
      </c>
      <c r="M119">
        <v>3976</v>
      </c>
      <c r="N119">
        <v>2007</v>
      </c>
      <c r="O119">
        <v>7</v>
      </c>
      <c r="P119" s="14">
        <f t="shared" si="11"/>
        <v>0.93592525252525249</v>
      </c>
      <c r="Q119">
        <v>3</v>
      </c>
      <c r="R119" s="14">
        <f t="shared" si="12"/>
        <v>0.95304173737373732</v>
      </c>
      <c r="AG119" s="14">
        <f t="shared" si="9"/>
        <v>1.8228261427699954E-2</v>
      </c>
    </row>
    <row r="120" spans="1:33" x14ac:dyDescent="0.25">
      <c r="A120" t="s">
        <v>303</v>
      </c>
      <c r="B120" t="s">
        <v>304</v>
      </c>
      <c r="C120">
        <v>45320</v>
      </c>
      <c r="D120">
        <v>412000</v>
      </c>
      <c r="E120">
        <v>412000</v>
      </c>
      <c r="F120">
        <v>99400</v>
      </c>
      <c r="G120">
        <v>320278</v>
      </c>
      <c r="H120" s="1">
        <f t="shared" si="10"/>
        <v>326683.56</v>
      </c>
      <c r="I120">
        <v>2</v>
      </c>
      <c r="J120">
        <v>6353515</v>
      </c>
      <c r="K120" t="s">
        <v>55</v>
      </c>
      <c r="L120">
        <v>0.56000000000000005</v>
      </c>
      <c r="M120">
        <v>2935</v>
      </c>
      <c r="N120">
        <v>2008</v>
      </c>
      <c r="O120">
        <v>7</v>
      </c>
      <c r="P120" s="14">
        <f t="shared" si="11"/>
        <v>1.0186359223300971</v>
      </c>
      <c r="Q120">
        <v>4</v>
      </c>
      <c r="R120" s="14">
        <f t="shared" si="12"/>
        <v>1.0341833980582524</v>
      </c>
      <c r="AG120" s="14">
        <f t="shared" si="9"/>
        <v>9.936992211221507E-2</v>
      </c>
    </row>
    <row r="121" spans="1:33" x14ac:dyDescent="0.25">
      <c r="A121" t="s">
        <v>305</v>
      </c>
      <c r="B121" t="s">
        <v>306</v>
      </c>
      <c r="C121">
        <v>45394</v>
      </c>
      <c r="D121">
        <v>410000</v>
      </c>
      <c r="E121">
        <v>397700</v>
      </c>
      <c r="F121">
        <v>61700</v>
      </c>
      <c r="G121">
        <v>343754</v>
      </c>
      <c r="H121" s="1">
        <f t="shared" si="10"/>
        <v>350629.08</v>
      </c>
      <c r="I121">
        <v>2</v>
      </c>
      <c r="J121">
        <v>6353515</v>
      </c>
      <c r="K121" t="s">
        <v>55</v>
      </c>
      <c r="L121">
        <v>0.2</v>
      </c>
      <c r="M121">
        <v>1248</v>
      </c>
      <c r="N121">
        <v>2007</v>
      </c>
      <c r="O121">
        <v>7</v>
      </c>
      <c r="P121" s="14">
        <f t="shared" si="11"/>
        <v>1.0194971083731457</v>
      </c>
      <c r="Q121">
        <v>3.5</v>
      </c>
      <c r="R121" s="14">
        <f t="shared" si="12"/>
        <v>1.0367842092029169</v>
      </c>
      <c r="AG121" s="14">
        <f t="shared" si="9"/>
        <v>0.10197073325687955</v>
      </c>
    </row>
    <row r="122" spans="1:33" x14ac:dyDescent="0.25">
      <c r="A122" t="s">
        <v>307</v>
      </c>
      <c r="B122" t="s">
        <v>308</v>
      </c>
      <c r="C122">
        <v>45593</v>
      </c>
      <c r="D122">
        <v>443170</v>
      </c>
      <c r="E122">
        <v>430000</v>
      </c>
      <c r="F122">
        <v>76688</v>
      </c>
      <c r="G122">
        <v>362242</v>
      </c>
      <c r="H122" s="1">
        <f t="shared" si="10"/>
        <v>369486.84</v>
      </c>
      <c r="I122">
        <v>2</v>
      </c>
      <c r="J122">
        <v>3211518</v>
      </c>
      <c r="K122" t="s">
        <v>78</v>
      </c>
      <c r="L122">
        <v>2.81</v>
      </c>
      <c r="M122">
        <v>2005</v>
      </c>
      <c r="N122">
        <v>1975</v>
      </c>
      <c r="O122">
        <v>20</v>
      </c>
      <c r="P122" s="14">
        <f t="shared" si="11"/>
        <v>1.0207674418604651</v>
      </c>
      <c r="Q122">
        <v>3.5</v>
      </c>
      <c r="R122" s="14">
        <f t="shared" si="12"/>
        <v>1.0376159069767443</v>
      </c>
      <c r="AG122" s="14">
        <f t="shared" si="9"/>
        <v>0.10280243103070696</v>
      </c>
    </row>
    <row r="123" spans="1:33" x14ac:dyDescent="0.25">
      <c r="A123" t="s">
        <v>309</v>
      </c>
      <c r="B123" t="s">
        <v>310</v>
      </c>
      <c r="C123">
        <v>45547</v>
      </c>
      <c r="D123">
        <v>230000</v>
      </c>
      <c r="E123">
        <v>230000</v>
      </c>
      <c r="F123">
        <v>74000</v>
      </c>
      <c r="G123">
        <v>145452</v>
      </c>
      <c r="H123" s="1">
        <f t="shared" si="10"/>
        <v>148361.04</v>
      </c>
      <c r="I123">
        <v>3</v>
      </c>
      <c r="J123">
        <v>1211575</v>
      </c>
      <c r="K123" t="s">
        <v>25</v>
      </c>
      <c r="L123">
        <v>5</v>
      </c>
      <c r="M123">
        <v>1260</v>
      </c>
      <c r="N123">
        <v>1996</v>
      </c>
      <c r="O123">
        <v>11</v>
      </c>
      <c r="P123" s="14">
        <f t="shared" si="11"/>
        <v>0.9541391304347826</v>
      </c>
      <c r="Q123">
        <v>3</v>
      </c>
      <c r="R123" s="14">
        <f t="shared" si="12"/>
        <v>0.96678713043478259</v>
      </c>
      <c r="AG123" s="14">
        <f t="shared" si="9"/>
        <v>3.1973654488745229E-2</v>
      </c>
    </row>
    <row r="124" spans="1:33" x14ac:dyDescent="0.25">
      <c r="A124" t="s">
        <v>311</v>
      </c>
      <c r="B124" t="s">
        <v>312</v>
      </c>
      <c r="C124">
        <v>45581</v>
      </c>
      <c r="D124">
        <v>375000</v>
      </c>
      <c r="E124">
        <v>355000</v>
      </c>
      <c r="F124">
        <v>91688</v>
      </c>
      <c r="G124">
        <v>235064</v>
      </c>
      <c r="H124" s="1">
        <f t="shared" si="10"/>
        <v>239765.28</v>
      </c>
      <c r="I124">
        <v>3</v>
      </c>
      <c r="J124">
        <v>6322246</v>
      </c>
      <c r="K124" t="s">
        <v>91</v>
      </c>
      <c r="L124">
        <v>11.68</v>
      </c>
      <c r="M124">
        <v>1620</v>
      </c>
      <c r="N124">
        <v>1980</v>
      </c>
      <c r="O124">
        <v>18</v>
      </c>
      <c r="P124" s="14">
        <f t="shared" si="11"/>
        <v>0.92042816901408453</v>
      </c>
      <c r="Q124">
        <v>3</v>
      </c>
      <c r="R124" s="14">
        <f t="shared" si="12"/>
        <v>0.93367121126760566</v>
      </c>
      <c r="AG124" s="14">
        <f t="shared" si="9"/>
        <v>1.1422646784317037E-3</v>
      </c>
    </row>
    <row r="125" spans="1:33" x14ac:dyDescent="0.25">
      <c r="A125" t="s">
        <v>313</v>
      </c>
      <c r="B125" t="s">
        <v>314</v>
      </c>
      <c r="C125">
        <v>45399</v>
      </c>
      <c r="D125">
        <v>185250</v>
      </c>
      <c r="E125">
        <v>185250</v>
      </c>
      <c r="F125">
        <v>26775</v>
      </c>
      <c r="G125">
        <v>192322</v>
      </c>
      <c r="H125" s="1">
        <f t="shared" si="10"/>
        <v>196168.44</v>
      </c>
      <c r="I125">
        <v>1</v>
      </c>
      <c r="J125">
        <v>5191758</v>
      </c>
      <c r="K125" t="s">
        <v>51</v>
      </c>
      <c r="L125">
        <v>0.17</v>
      </c>
      <c r="M125">
        <v>1232</v>
      </c>
      <c r="N125">
        <v>1973</v>
      </c>
      <c r="O125">
        <v>20</v>
      </c>
      <c r="P125" s="14">
        <f t="shared" si="11"/>
        <v>1.1827098515519567</v>
      </c>
      <c r="Q125">
        <v>3</v>
      </c>
      <c r="R125" s="14">
        <f t="shared" si="12"/>
        <v>1.2034733603238867</v>
      </c>
      <c r="AG125" s="14">
        <f t="shared" si="9"/>
        <v>0.26865988437784938</v>
      </c>
    </row>
    <row r="126" spans="1:33" x14ac:dyDescent="0.25">
      <c r="A126" t="s">
        <v>315</v>
      </c>
      <c r="B126" t="s">
        <v>316</v>
      </c>
      <c r="C126">
        <v>45397</v>
      </c>
      <c r="D126">
        <v>345000</v>
      </c>
      <c r="E126">
        <v>340000</v>
      </c>
      <c r="F126">
        <v>63930</v>
      </c>
      <c r="G126">
        <v>289675</v>
      </c>
      <c r="H126" s="1">
        <f t="shared" si="10"/>
        <v>295468.5</v>
      </c>
      <c r="I126">
        <v>1</v>
      </c>
      <c r="J126">
        <v>2173157</v>
      </c>
      <c r="K126" t="s">
        <v>43</v>
      </c>
      <c r="L126">
        <v>1.23</v>
      </c>
      <c r="M126">
        <v>1926</v>
      </c>
      <c r="N126">
        <v>2009</v>
      </c>
      <c r="O126">
        <v>6</v>
      </c>
      <c r="P126" s="14">
        <f t="shared" si="11"/>
        <v>1.040014705882353</v>
      </c>
      <c r="Q126">
        <v>3</v>
      </c>
      <c r="R126" s="14">
        <f t="shared" si="12"/>
        <v>1.0570544117647058</v>
      </c>
      <c r="AG126" s="14">
        <f t="shared" si="9"/>
        <v>0.12224093581866846</v>
      </c>
    </row>
    <row r="127" spans="1:33" x14ac:dyDescent="0.25">
      <c r="A127" t="s">
        <v>317</v>
      </c>
      <c r="B127" t="s">
        <v>318</v>
      </c>
      <c r="C127">
        <v>45643</v>
      </c>
      <c r="D127">
        <v>410000</v>
      </c>
      <c r="E127">
        <v>400000</v>
      </c>
      <c r="F127">
        <v>62075</v>
      </c>
      <c r="G127">
        <v>381001</v>
      </c>
      <c r="H127" s="1">
        <f t="shared" si="10"/>
        <v>388621.02</v>
      </c>
      <c r="I127">
        <v>2</v>
      </c>
      <c r="J127">
        <v>6353510</v>
      </c>
      <c r="K127" t="s">
        <v>55</v>
      </c>
      <c r="L127">
        <v>0.54</v>
      </c>
      <c r="M127">
        <v>2097</v>
      </c>
      <c r="N127">
        <v>1975</v>
      </c>
      <c r="O127">
        <v>20</v>
      </c>
      <c r="P127" s="14">
        <f t="shared" si="11"/>
        <v>1.1076900000000001</v>
      </c>
      <c r="Q127">
        <v>3</v>
      </c>
      <c r="R127" s="14">
        <f t="shared" si="12"/>
        <v>1.12674005</v>
      </c>
      <c r="AG127" s="14">
        <f t="shared" si="9"/>
        <v>0.19192657405396263</v>
      </c>
    </row>
    <row r="128" spans="1:33" x14ac:dyDescent="0.25">
      <c r="A128" t="s">
        <v>319</v>
      </c>
      <c r="B128" t="s">
        <v>320</v>
      </c>
      <c r="C128">
        <v>45450</v>
      </c>
      <c r="D128">
        <v>490000</v>
      </c>
      <c r="E128">
        <v>490000</v>
      </c>
      <c r="F128">
        <v>77000</v>
      </c>
      <c r="G128">
        <v>441071</v>
      </c>
      <c r="H128" s="1">
        <f t="shared" si="10"/>
        <v>449892.42</v>
      </c>
      <c r="I128">
        <v>2</v>
      </c>
      <c r="J128">
        <v>7172516</v>
      </c>
      <c r="K128" t="s">
        <v>78</v>
      </c>
      <c r="L128">
        <v>1.04</v>
      </c>
      <c r="M128">
        <v>2437</v>
      </c>
      <c r="N128">
        <v>2007</v>
      </c>
      <c r="O128">
        <v>7</v>
      </c>
      <c r="P128" s="14">
        <f t="shared" si="11"/>
        <v>1.0572877551020408</v>
      </c>
      <c r="Q128">
        <v>3</v>
      </c>
      <c r="R128" s="14">
        <f t="shared" si="12"/>
        <v>1.0752906530612243</v>
      </c>
      <c r="AG128" s="14">
        <f t="shared" si="9"/>
        <v>0.14047717711518692</v>
      </c>
    </row>
    <row r="129" spans="1:33" x14ac:dyDescent="0.25">
      <c r="A129" t="s">
        <v>321</v>
      </c>
      <c r="B129" t="s">
        <v>322</v>
      </c>
      <c r="C129">
        <v>45341</v>
      </c>
      <c r="D129">
        <v>499000</v>
      </c>
      <c r="E129">
        <v>499000</v>
      </c>
      <c r="F129">
        <v>89878</v>
      </c>
      <c r="G129">
        <v>438969</v>
      </c>
      <c r="H129" s="1">
        <f t="shared" si="10"/>
        <v>447748.38</v>
      </c>
      <c r="I129">
        <v>2</v>
      </c>
      <c r="J129">
        <v>6353515</v>
      </c>
      <c r="K129" t="s">
        <v>55</v>
      </c>
      <c r="L129">
        <v>0.39</v>
      </c>
      <c r="M129">
        <v>2450</v>
      </c>
      <c r="N129">
        <v>2008</v>
      </c>
      <c r="O129">
        <v>0</v>
      </c>
      <c r="P129" s="14">
        <f t="shared" si="11"/>
        <v>1.0598136272545091</v>
      </c>
      <c r="Q129">
        <v>3</v>
      </c>
      <c r="R129" s="14">
        <f t="shared" si="12"/>
        <v>1.0774075751503005</v>
      </c>
      <c r="AG129" s="14">
        <f t="shared" si="9"/>
        <v>0.14259409920426314</v>
      </c>
    </row>
    <row r="130" spans="1:33" x14ac:dyDescent="0.25">
      <c r="A130" t="s">
        <v>323</v>
      </c>
      <c r="B130" t="s">
        <v>324</v>
      </c>
      <c r="C130">
        <v>45468</v>
      </c>
      <c r="D130">
        <v>395000</v>
      </c>
      <c r="E130">
        <v>383000</v>
      </c>
      <c r="F130">
        <v>54492</v>
      </c>
      <c r="G130">
        <v>352899</v>
      </c>
      <c r="H130" s="1">
        <f t="shared" si="10"/>
        <v>359956.98</v>
      </c>
      <c r="I130">
        <v>2</v>
      </c>
      <c r="J130">
        <v>6353519</v>
      </c>
      <c r="K130" t="s">
        <v>55</v>
      </c>
      <c r="L130">
        <v>0.2</v>
      </c>
      <c r="M130">
        <v>1617</v>
      </c>
      <c r="N130">
        <v>2012</v>
      </c>
      <c r="O130">
        <v>5</v>
      </c>
      <c r="P130" s="14">
        <f t="shared" si="11"/>
        <v>1.0636840731070496</v>
      </c>
      <c r="Q130">
        <v>3</v>
      </c>
      <c r="R130" s="14">
        <f t="shared" si="12"/>
        <v>1.0821122193211488</v>
      </c>
      <c r="AG130" s="14">
        <f t="shared" ref="AG130:AG135" si="13">ABS(R130-$V$10)</f>
        <v>0.1472987433751114</v>
      </c>
    </row>
    <row r="131" spans="1:33" x14ac:dyDescent="0.25">
      <c r="A131" t="s">
        <v>325</v>
      </c>
      <c r="B131" t="s">
        <v>326</v>
      </c>
      <c r="C131">
        <v>45457</v>
      </c>
      <c r="D131">
        <v>279500</v>
      </c>
      <c r="E131">
        <v>271115</v>
      </c>
      <c r="F131">
        <v>58050</v>
      </c>
      <c r="G131">
        <v>253499</v>
      </c>
      <c r="H131" s="1">
        <f t="shared" ref="H131:H135" si="14">ROUND(G131*(INDEX($W$2:$W$7,MATCH(I131,$V$2:$V$7,0)))* INDEX($Z$2:$Z$7, MATCH(M131, $X$2:$X$7, 1))* INDEX($AC$2:$AC$7, MATCH(N131, $AA$2:$AA$7, 1))*INDEX($U$2:$U$7,MATCH(Q131,$T$2:$T$7,0)),2)</f>
        <v>258568.98</v>
      </c>
      <c r="I131">
        <v>2</v>
      </c>
      <c r="J131">
        <v>6353510</v>
      </c>
      <c r="K131" t="s">
        <v>55</v>
      </c>
      <c r="L131">
        <v>0.31</v>
      </c>
      <c r="M131">
        <v>1734</v>
      </c>
      <c r="N131">
        <v>1976</v>
      </c>
      <c r="O131">
        <v>19</v>
      </c>
      <c r="P131" s="14">
        <f t="shared" ref="P131:P135" si="15">(F131+G131)/E131</f>
        <v>1.1491396639802298</v>
      </c>
      <c r="Q131">
        <v>3</v>
      </c>
      <c r="R131" s="14">
        <f t="shared" ref="R131:R135" si="16">(H131+F131)/E131</f>
        <v>1.1678401416373125</v>
      </c>
      <c r="AG131" s="14">
        <f t="shared" si="13"/>
        <v>0.23302666569127517</v>
      </c>
    </row>
    <row r="132" spans="1:33" x14ac:dyDescent="0.25">
      <c r="A132" t="s">
        <v>327</v>
      </c>
      <c r="B132" t="s">
        <v>328</v>
      </c>
      <c r="C132">
        <v>45406</v>
      </c>
      <c r="D132">
        <v>227000</v>
      </c>
      <c r="E132">
        <v>218450</v>
      </c>
      <c r="F132">
        <v>68200</v>
      </c>
      <c r="G132">
        <v>198077</v>
      </c>
      <c r="H132" s="1">
        <f t="shared" si="14"/>
        <v>202038.54</v>
      </c>
      <c r="I132">
        <v>2</v>
      </c>
      <c r="J132">
        <v>6353510</v>
      </c>
      <c r="K132" t="s">
        <v>55</v>
      </c>
      <c r="L132">
        <v>0.89</v>
      </c>
      <c r="M132">
        <v>1004</v>
      </c>
      <c r="N132">
        <v>1973</v>
      </c>
      <c r="O132">
        <v>20</v>
      </c>
      <c r="P132" s="14">
        <f t="shared" si="15"/>
        <v>1.2189379720759899</v>
      </c>
      <c r="Q132">
        <v>3</v>
      </c>
      <c r="R132" s="14">
        <f t="shared" si="16"/>
        <v>1.2370727397573817</v>
      </c>
      <c r="AG132" s="14">
        <f t="shared" si="13"/>
        <v>0.30225926381134438</v>
      </c>
    </row>
    <row r="133" spans="1:33" x14ac:dyDescent="0.25">
      <c r="A133" t="s">
        <v>329</v>
      </c>
      <c r="B133" t="s">
        <v>330</v>
      </c>
      <c r="C133">
        <v>45413</v>
      </c>
      <c r="D133">
        <v>215000</v>
      </c>
      <c r="E133">
        <v>215000</v>
      </c>
      <c r="F133">
        <v>35750</v>
      </c>
      <c r="G133">
        <v>201347</v>
      </c>
      <c r="H133" s="1">
        <f t="shared" si="14"/>
        <v>205373.94</v>
      </c>
      <c r="I133">
        <v>1</v>
      </c>
      <c r="J133">
        <v>5133573</v>
      </c>
      <c r="K133" t="s">
        <v>137</v>
      </c>
      <c r="L133">
        <v>2.5</v>
      </c>
      <c r="M133">
        <v>1079</v>
      </c>
      <c r="N133">
        <v>2009</v>
      </c>
      <c r="O133">
        <v>0</v>
      </c>
      <c r="P133" s="14">
        <f t="shared" si="15"/>
        <v>1.1027767441860465</v>
      </c>
      <c r="Q133">
        <v>3</v>
      </c>
      <c r="R133" s="14">
        <f t="shared" si="16"/>
        <v>1.1215066976744186</v>
      </c>
      <c r="AG133" s="14">
        <f t="shared" si="13"/>
        <v>0.18669322172838121</v>
      </c>
    </row>
    <row r="134" spans="1:33" x14ac:dyDescent="0.25">
      <c r="A134" t="s">
        <v>331</v>
      </c>
      <c r="B134" t="s">
        <v>332</v>
      </c>
      <c r="C134">
        <v>45344</v>
      </c>
      <c r="D134">
        <v>218000</v>
      </c>
      <c r="E134">
        <v>210036</v>
      </c>
      <c r="F134">
        <v>31605</v>
      </c>
      <c r="G134">
        <v>142275</v>
      </c>
      <c r="H134" s="1">
        <f t="shared" si="14"/>
        <v>145120.5</v>
      </c>
      <c r="I134">
        <v>1</v>
      </c>
      <c r="J134">
        <v>5191758</v>
      </c>
      <c r="K134" t="s">
        <v>51</v>
      </c>
      <c r="L134">
        <v>1.83</v>
      </c>
      <c r="M134">
        <v>1400</v>
      </c>
      <c r="N134">
        <v>1920</v>
      </c>
      <c r="O134">
        <v>34</v>
      </c>
      <c r="P134" s="14">
        <f t="shared" si="15"/>
        <v>0.82785808147174766</v>
      </c>
      <c r="Q134">
        <v>3</v>
      </c>
      <c r="R134" s="14">
        <f t="shared" si="16"/>
        <v>0.84140575901274073</v>
      </c>
      <c r="AG134" s="14">
        <f t="shared" si="13"/>
        <v>9.3407716933296636E-2</v>
      </c>
    </row>
    <row r="135" spans="1:33" x14ac:dyDescent="0.25">
      <c r="A135" t="s">
        <v>333</v>
      </c>
      <c r="B135" t="s">
        <v>334</v>
      </c>
      <c r="C135">
        <v>45646</v>
      </c>
      <c r="D135">
        <v>270000</v>
      </c>
      <c r="E135">
        <v>260600</v>
      </c>
      <c r="F135">
        <v>57175</v>
      </c>
      <c r="G135">
        <v>333437</v>
      </c>
      <c r="H135" s="1">
        <f t="shared" si="14"/>
        <v>340105.74</v>
      </c>
      <c r="I135">
        <v>2</v>
      </c>
      <c r="J135">
        <v>5353510</v>
      </c>
      <c r="K135" t="s">
        <v>55</v>
      </c>
      <c r="L135">
        <v>0.26</v>
      </c>
      <c r="M135">
        <v>1694</v>
      </c>
      <c r="N135">
        <v>1976</v>
      </c>
      <c r="O135">
        <v>19</v>
      </c>
      <c r="P135" s="14">
        <f t="shared" si="15"/>
        <v>1.4988948580199539</v>
      </c>
      <c r="Q135">
        <v>3</v>
      </c>
      <c r="R135" s="14">
        <f t="shared" si="16"/>
        <v>1.5244848042977743</v>
      </c>
      <c r="AG135" s="14">
        <f t="shared" si="13"/>
        <v>0.58967132835173697</v>
      </c>
    </row>
  </sheetData>
  <mergeCells count="4">
    <mergeCell ref="T12:W12"/>
    <mergeCell ref="Y12:AB12"/>
    <mergeCell ref="T21:W21"/>
    <mergeCell ref="Y21:AB21"/>
  </mergeCells>
  <conditionalFormatting sqref="V10 W14:W19 W23:W28 AB23:AB27 AB14:AB19">
    <cfRule type="cellIs" dxfId="2" priority="3" operator="between">
      <formula>0.95</formula>
      <formula>1.05</formula>
    </cfRule>
  </conditionalFormatting>
  <conditionalFormatting sqref="V10 W14:W19 W23:W28 AB23:AB27 AB14:AB19">
    <cfRule type="cellIs" dxfId="1" priority="2" operator="between">
      <formula>0.9</formula>
      <formula>0.9499</formula>
    </cfRule>
  </conditionalFormatting>
  <conditionalFormatting sqref="V10 W14:W19 W23:W28 AB23:AB27 AB14:AB19">
    <cfRule type="cellIs" dxfId="0" priority="1" operator="between">
      <formula>1.0501</formula>
      <formula>1.1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ACAB-6683-4C68-BB1F-83C2D1D760C4}">
  <dimension ref="A1:AH142"/>
  <sheetViews>
    <sheetView tabSelected="1" zoomScale="80" zoomScaleNormal="80" workbookViewId="0">
      <selection activeCell="B2" sqref="B2"/>
    </sheetView>
  </sheetViews>
  <sheetFormatPr defaultRowHeight="15" x14ac:dyDescent="0.25"/>
  <cols>
    <col min="1" max="1" width="12.42578125" style="34" bestFit="1" customWidth="1"/>
    <col min="2" max="2" width="13.42578125" style="34" bestFit="1" customWidth="1"/>
    <col min="3" max="3" width="10.7109375" style="34" bestFit="1" customWidth="1"/>
    <col min="4" max="5" width="12.140625" style="34" bestFit="1" customWidth="1"/>
    <col min="6" max="6" width="10.5703125" style="34" bestFit="1" customWidth="1"/>
    <col min="7" max="7" width="13.7109375" style="34" bestFit="1" customWidth="1"/>
    <col min="8" max="8" width="13.7109375" style="34" customWidth="1"/>
    <col min="9" max="9" width="8.5703125" style="34" bestFit="1" customWidth="1"/>
    <col min="10" max="10" width="9.5703125" style="34" bestFit="1" customWidth="1"/>
    <col min="11" max="11" width="11.28515625" style="34" bestFit="1" customWidth="1"/>
    <col min="12" max="12" width="8.5703125" style="34" bestFit="1" customWidth="1"/>
    <col min="13" max="13" width="12.140625" style="34" bestFit="1" customWidth="1"/>
    <col min="14" max="14" width="8.85546875" style="34" bestFit="1" customWidth="1"/>
    <col min="15" max="15" width="12.140625" style="34" bestFit="1" customWidth="1"/>
    <col min="16" max="16" width="10.28515625" style="34" bestFit="1" customWidth="1"/>
    <col min="17" max="17" width="10.5703125" style="34" bestFit="1" customWidth="1"/>
    <col min="21" max="21" width="9.140625" style="37"/>
    <col min="22" max="22" width="12.42578125" style="37" bestFit="1" customWidth="1"/>
    <col min="23" max="34" width="9.140625" style="37"/>
  </cols>
  <sheetData>
    <row r="1" spans="1:25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/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26" t="s">
        <v>335</v>
      </c>
      <c r="S1" s="26" t="s">
        <v>336</v>
      </c>
      <c r="T1" s="1"/>
      <c r="U1" s="36"/>
      <c r="V1" s="36"/>
      <c r="W1" s="36"/>
      <c r="X1" s="36"/>
    </row>
    <row r="2" spans="1:25" x14ac:dyDescent="0.25">
      <c r="A2" s="29" t="s">
        <v>23</v>
      </c>
      <c r="B2" s="29" t="s">
        <v>24</v>
      </c>
      <c r="C2" s="31">
        <v>45581</v>
      </c>
      <c r="D2" s="27">
        <v>390000</v>
      </c>
      <c r="E2" s="27">
        <v>390000</v>
      </c>
      <c r="F2" s="27">
        <v>74000</v>
      </c>
      <c r="G2" s="27">
        <v>171124</v>
      </c>
      <c r="H2" s="27">
        <f>F2+G2</f>
        <v>245124</v>
      </c>
      <c r="I2" s="28">
        <v>3</v>
      </c>
      <c r="J2" s="28">
        <v>1211575</v>
      </c>
      <c r="K2" s="29" t="s">
        <v>25</v>
      </c>
      <c r="L2" s="32">
        <v>5</v>
      </c>
      <c r="M2" s="29">
        <v>900</v>
      </c>
      <c r="N2" s="29">
        <v>2013</v>
      </c>
      <c r="O2" s="29">
        <v>5</v>
      </c>
      <c r="P2" s="33">
        <f>(F2+G2)/E2</f>
        <v>0.62852307692307696</v>
      </c>
      <c r="Q2" s="28">
        <v>3</v>
      </c>
      <c r="R2" s="1">
        <f>((G2*1.02)+F2)/E2</f>
        <v>0.63729866666666668</v>
      </c>
      <c r="S2" s="1">
        <f>((IF(AND(G2&lt;=$V$10,G2&gt;=$U$10),G2*1.02,IF(AND(G2&lt;=$V$11,G2&gt;=$U$11),G2,IF(AND(G2&lt;=$V$12,G2&gt;=$U$12),G2*1.01)))+F2)/E2)</f>
        <v>0.63729866666666668</v>
      </c>
      <c r="T2" s="1"/>
      <c r="U2" s="36"/>
      <c r="V2" s="36"/>
      <c r="W2" s="36"/>
      <c r="X2" s="36"/>
    </row>
    <row r="3" spans="1:25" x14ac:dyDescent="0.25">
      <c r="A3" s="29" t="s">
        <v>26</v>
      </c>
      <c r="B3" s="29" t="s">
        <v>27</v>
      </c>
      <c r="C3" s="31">
        <v>45407</v>
      </c>
      <c r="D3" s="27">
        <v>467000</v>
      </c>
      <c r="E3" s="27">
        <v>467000</v>
      </c>
      <c r="F3" s="27">
        <v>74000</v>
      </c>
      <c r="G3" s="27">
        <v>280350</v>
      </c>
      <c r="H3" s="27">
        <f t="shared" ref="H3:H64" si="0">F3+G3</f>
        <v>354350</v>
      </c>
      <c r="I3" s="28">
        <v>3</v>
      </c>
      <c r="J3" s="28">
        <v>1211575</v>
      </c>
      <c r="K3" s="29" t="s">
        <v>25</v>
      </c>
      <c r="L3" s="32">
        <v>5</v>
      </c>
      <c r="M3" s="29">
        <v>1586</v>
      </c>
      <c r="N3" s="29">
        <v>2022</v>
      </c>
      <c r="O3" s="29">
        <v>2</v>
      </c>
      <c r="P3" s="33">
        <f>(F3+G3)/E3</f>
        <v>0.75877944325481794</v>
      </c>
      <c r="Q3" s="28">
        <v>3</v>
      </c>
      <c r="R3" s="1">
        <f t="shared" ref="R3:R64" si="1">((G3*1.02)+F3)/E3</f>
        <v>0.77078586723768738</v>
      </c>
      <c r="S3" s="1">
        <f t="shared" ref="S3:S66" si="2">((IF(AND(G3&lt;=$V$10,G3&gt;=$U$10),G3*1.02,IF(AND(G3&lt;=$V$11,G3&gt;=$U$11),G3,IF(AND(G3&lt;=$V$12,G3&gt;=$U$12),G3*1.01)))+F3)/E3)</f>
        <v>0.77078586723768738</v>
      </c>
      <c r="T3" s="1"/>
      <c r="U3" s="36">
        <v>0</v>
      </c>
      <c r="V3" s="36">
        <v>300000</v>
      </c>
      <c r="W3" s="36"/>
      <c r="X3" s="36">
        <f>AVERAGEIFS($P$2:$P$131,$G$2:$G$131,"&gt;"&amp;U3,$G$2:$G$131,"&lt;"&amp;V3)</f>
        <v>0.89877873264973673</v>
      </c>
    </row>
    <row r="4" spans="1:25" x14ac:dyDescent="0.25">
      <c r="A4" s="29" t="s">
        <v>28</v>
      </c>
      <c r="B4" s="29" t="s">
        <v>29</v>
      </c>
      <c r="C4" s="31">
        <v>45485</v>
      </c>
      <c r="D4" s="27">
        <v>240000</v>
      </c>
      <c r="E4" s="27">
        <v>232950</v>
      </c>
      <c r="F4" s="27">
        <v>59000</v>
      </c>
      <c r="G4" s="27">
        <v>129252</v>
      </c>
      <c r="H4" s="27">
        <f t="shared" si="0"/>
        <v>188252</v>
      </c>
      <c r="I4" s="28">
        <v>3</v>
      </c>
      <c r="J4" s="28">
        <v>1211575</v>
      </c>
      <c r="K4" s="29" t="s">
        <v>25</v>
      </c>
      <c r="L4" s="32">
        <v>5</v>
      </c>
      <c r="M4" s="29">
        <v>569</v>
      </c>
      <c r="N4" s="29">
        <v>2019</v>
      </c>
      <c r="O4" s="29">
        <v>3</v>
      </c>
      <c r="P4" s="33">
        <f>(F4+G4)/E4</f>
        <v>0.80812191457394289</v>
      </c>
      <c r="Q4" s="28">
        <v>3</v>
      </c>
      <c r="R4" s="1">
        <f t="shared" si="1"/>
        <v>0.81921888817342781</v>
      </c>
      <c r="S4" s="1">
        <f t="shared" si="2"/>
        <v>0.81921888817342781</v>
      </c>
      <c r="T4" s="1"/>
      <c r="U4" s="36">
        <v>300001</v>
      </c>
      <c r="V4" s="36">
        <v>500000</v>
      </c>
      <c r="W4" s="36"/>
      <c r="X4" s="36">
        <f>AVERAGEIFS($P$2:$P$131,$G$2:$G$131,"&gt;"&amp;U4,$G$2:$G$131,"&lt;"&amp;V4)</f>
        <v>0.96294855189993422</v>
      </c>
    </row>
    <row r="5" spans="1:25" x14ac:dyDescent="0.25">
      <c r="A5" s="29" t="s">
        <v>30</v>
      </c>
      <c r="B5" s="29" t="s">
        <v>31</v>
      </c>
      <c r="C5" s="31">
        <v>45653</v>
      </c>
      <c r="D5" s="27">
        <v>394900</v>
      </c>
      <c r="E5" s="27">
        <v>384900</v>
      </c>
      <c r="F5" s="27">
        <v>40200</v>
      </c>
      <c r="G5" s="27">
        <v>214556</v>
      </c>
      <c r="H5" s="27">
        <f t="shared" si="0"/>
        <v>254756</v>
      </c>
      <c r="I5" s="28">
        <v>4</v>
      </c>
      <c r="J5" s="28">
        <v>7173513</v>
      </c>
      <c r="K5" s="29" t="s">
        <v>32</v>
      </c>
      <c r="L5" s="32">
        <v>16.8</v>
      </c>
      <c r="M5" s="29">
        <v>1232</v>
      </c>
      <c r="N5" s="29">
        <v>1996</v>
      </c>
      <c r="O5" s="29">
        <v>11</v>
      </c>
      <c r="P5" s="33">
        <f>(F5+G5)/E5</f>
        <v>0.66187581189919464</v>
      </c>
      <c r="Q5" s="28">
        <v>3</v>
      </c>
      <c r="R5" s="1">
        <f t="shared" si="1"/>
        <v>0.67302447388932185</v>
      </c>
      <c r="S5" s="1">
        <f t="shared" si="2"/>
        <v>0.67302447388932185</v>
      </c>
      <c r="T5" s="1"/>
      <c r="U5" s="36">
        <v>500001</v>
      </c>
      <c r="V5" s="36">
        <v>750000</v>
      </c>
      <c r="W5" s="36"/>
      <c r="X5" s="36">
        <f>AVERAGEIFS($P$2:$P$131,$G$2:$G$131,"&gt;"&amp;U5,$G$2:$G$131,"&lt;"&amp;V5)</f>
        <v>0.9205190668026465</v>
      </c>
    </row>
    <row r="6" spans="1:25" x14ac:dyDescent="0.25">
      <c r="A6" s="29" t="s">
        <v>33</v>
      </c>
      <c r="B6" s="29" t="s">
        <v>34</v>
      </c>
      <c r="C6" s="31">
        <v>45533</v>
      </c>
      <c r="D6" s="27">
        <v>482000</v>
      </c>
      <c r="E6" s="27">
        <v>482000</v>
      </c>
      <c r="F6" s="27">
        <v>73900</v>
      </c>
      <c r="G6" s="27">
        <v>201957</v>
      </c>
      <c r="H6" s="27">
        <f t="shared" si="0"/>
        <v>275857</v>
      </c>
      <c r="I6" s="28">
        <v>3</v>
      </c>
      <c r="J6" s="28">
        <v>1211575</v>
      </c>
      <c r="K6" s="29" t="s">
        <v>25</v>
      </c>
      <c r="L6" s="32">
        <v>9.56</v>
      </c>
      <c r="M6" s="29">
        <v>1210</v>
      </c>
      <c r="N6" s="29">
        <v>2021</v>
      </c>
      <c r="O6" s="29">
        <v>2</v>
      </c>
      <c r="P6" s="33">
        <f>(F6+G6)/E6</f>
        <v>0.57231742738589209</v>
      </c>
      <c r="Q6" s="28">
        <v>3</v>
      </c>
      <c r="R6" s="1">
        <f t="shared" si="1"/>
        <v>0.58069738589211617</v>
      </c>
      <c r="S6" s="1">
        <f t="shared" si="2"/>
        <v>0.58069738589211617</v>
      </c>
      <c r="T6" s="1"/>
      <c r="U6" s="36">
        <v>750001</v>
      </c>
      <c r="V6" s="36">
        <v>1000000</v>
      </c>
      <c r="W6" s="36"/>
      <c r="X6" s="36" t="e">
        <f>AVERAGEIFS($P$2:$P$131,$G$2:$G$131,"&gt;"&amp;U6,$G$2:$G$131,"&lt;"&amp;V6)</f>
        <v>#DIV/0!</v>
      </c>
    </row>
    <row r="7" spans="1:25" x14ac:dyDescent="0.25">
      <c r="A7" s="29" t="s">
        <v>35</v>
      </c>
      <c r="B7" s="29" t="s">
        <v>36</v>
      </c>
      <c r="C7" s="31">
        <v>45610</v>
      </c>
      <c r="D7" s="27">
        <v>278000</v>
      </c>
      <c r="E7" s="27">
        <v>278000</v>
      </c>
      <c r="F7" s="27">
        <v>74000</v>
      </c>
      <c r="G7" s="27">
        <v>120534</v>
      </c>
      <c r="H7" s="27">
        <f t="shared" si="0"/>
        <v>194534</v>
      </c>
      <c r="I7" s="28">
        <v>3</v>
      </c>
      <c r="J7" s="28">
        <v>1211575</v>
      </c>
      <c r="K7" s="29" t="s">
        <v>25</v>
      </c>
      <c r="L7" s="32">
        <v>5</v>
      </c>
      <c r="M7" s="29">
        <v>768</v>
      </c>
      <c r="N7" s="29">
        <v>1984</v>
      </c>
      <c r="O7" s="29">
        <v>2</v>
      </c>
      <c r="P7" s="33">
        <f>(F7+G7)/E7</f>
        <v>0.69976258992805751</v>
      </c>
      <c r="Q7" s="28">
        <v>3</v>
      </c>
      <c r="R7" s="1">
        <f t="shared" si="1"/>
        <v>0.70843410071942448</v>
      </c>
      <c r="S7" s="1">
        <f t="shared" si="2"/>
        <v>0.70843410071942448</v>
      </c>
      <c r="T7" s="1"/>
      <c r="U7" s="36">
        <v>1000001</v>
      </c>
      <c r="V7" s="36">
        <v>10000000</v>
      </c>
      <c r="W7" s="36"/>
      <c r="X7" s="36" t="e">
        <f>AVERAGEIFS($P$2:$P$131,$G$2:$G$131,"&gt;"&amp;U7,$G$2:$G$131,"&lt;"&amp;V7)</f>
        <v>#DIV/0!</v>
      </c>
    </row>
    <row r="8" spans="1:25" x14ac:dyDescent="0.25">
      <c r="A8" s="29" t="s">
        <v>37</v>
      </c>
      <c r="B8" s="29" t="s">
        <v>38</v>
      </c>
      <c r="C8" s="31">
        <v>45369</v>
      </c>
      <c r="D8" s="27">
        <v>208900</v>
      </c>
      <c r="E8" s="27">
        <v>208900</v>
      </c>
      <c r="F8" s="27">
        <v>28700</v>
      </c>
      <c r="G8" s="27">
        <v>119185</v>
      </c>
      <c r="H8" s="27">
        <f t="shared" si="0"/>
        <v>147885</v>
      </c>
      <c r="I8" s="28">
        <v>1</v>
      </c>
      <c r="J8" s="28">
        <v>6333848</v>
      </c>
      <c r="K8" s="29" t="s">
        <v>39</v>
      </c>
      <c r="L8" s="32">
        <v>1</v>
      </c>
      <c r="M8" s="29">
        <v>800</v>
      </c>
      <c r="N8" s="29">
        <v>1980</v>
      </c>
      <c r="O8" s="29">
        <v>18</v>
      </c>
      <c r="P8" s="33">
        <f>(F8+G8)/E8</f>
        <v>0.70792245093346096</v>
      </c>
      <c r="Q8" s="28">
        <v>3</v>
      </c>
      <c r="R8" s="1">
        <f t="shared" si="1"/>
        <v>0.71933317376735284</v>
      </c>
      <c r="S8" s="1">
        <f t="shared" si="2"/>
        <v>0.71933317376735284</v>
      </c>
      <c r="T8" s="1"/>
      <c r="U8" s="36"/>
      <c r="V8" s="36"/>
      <c r="W8" s="36"/>
      <c r="X8" s="36"/>
    </row>
    <row r="9" spans="1:25" x14ac:dyDescent="0.25">
      <c r="A9" s="29" t="s">
        <v>41</v>
      </c>
      <c r="B9" s="29" t="s">
        <v>42</v>
      </c>
      <c r="C9" s="31">
        <v>45656</v>
      </c>
      <c r="D9" s="27">
        <v>185000</v>
      </c>
      <c r="E9" s="27">
        <v>185000</v>
      </c>
      <c r="F9" s="27">
        <v>40662</v>
      </c>
      <c r="G9" s="27">
        <v>90932</v>
      </c>
      <c r="H9" s="27">
        <f t="shared" si="0"/>
        <v>131594</v>
      </c>
      <c r="I9" s="28">
        <v>1</v>
      </c>
      <c r="J9" s="28">
        <v>2173157</v>
      </c>
      <c r="K9" s="29" t="s">
        <v>43</v>
      </c>
      <c r="L9" s="32">
        <v>0.19</v>
      </c>
      <c r="M9" s="29">
        <v>744</v>
      </c>
      <c r="N9" s="29">
        <v>1945</v>
      </c>
      <c r="O9" s="29">
        <v>18</v>
      </c>
      <c r="P9" s="33">
        <f>(F9+G9)/E9</f>
        <v>0.71131891891891896</v>
      </c>
      <c r="Q9" s="28">
        <v>2.5</v>
      </c>
      <c r="R9" s="1">
        <f t="shared" si="1"/>
        <v>0.72114940540540551</v>
      </c>
      <c r="S9" s="1">
        <f t="shared" si="2"/>
        <v>0.72114940540540551</v>
      </c>
      <c r="T9" s="1"/>
      <c r="V9" s="39"/>
      <c r="W9" s="39"/>
      <c r="X9" s="39">
        <v>1.02</v>
      </c>
      <c r="Y9" s="37" t="s">
        <v>335</v>
      </c>
    </row>
    <row r="10" spans="1:25" x14ac:dyDescent="0.25">
      <c r="A10" s="29" t="s">
        <v>45</v>
      </c>
      <c r="B10" s="29" t="s">
        <v>46</v>
      </c>
      <c r="C10" s="31">
        <v>45566</v>
      </c>
      <c r="D10" s="27">
        <v>250000</v>
      </c>
      <c r="E10" s="27">
        <v>250000</v>
      </c>
      <c r="F10" s="27">
        <v>32000</v>
      </c>
      <c r="G10" s="27">
        <v>151271</v>
      </c>
      <c r="H10" s="27">
        <f t="shared" si="0"/>
        <v>183271</v>
      </c>
      <c r="I10" s="28">
        <v>3</v>
      </c>
      <c r="J10" s="28">
        <v>2363717</v>
      </c>
      <c r="K10" s="29" t="s">
        <v>25</v>
      </c>
      <c r="L10" s="32">
        <v>1</v>
      </c>
      <c r="M10" s="29">
        <v>996</v>
      </c>
      <c r="N10" s="29">
        <v>2005</v>
      </c>
      <c r="O10" s="29">
        <v>8</v>
      </c>
      <c r="P10" s="33">
        <f>(F10+G10)/E10</f>
        <v>0.73308399999999996</v>
      </c>
      <c r="Q10" s="28">
        <v>3</v>
      </c>
      <c r="R10" s="1">
        <f t="shared" si="1"/>
        <v>0.74518568000000007</v>
      </c>
      <c r="S10" s="1">
        <f t="shared" si="2"/>
        <v>0.74518568000000007</v>
      </c>
      <c r="T10" s="1"/>
      <c r="U10" s="36">
        <v>0</v>
      </c>
      <c r="V10" s="36">
        <v>300000</v>
      </c>
      <c r="W10" s="36"/>
      <c r="X10" s="36">
        <f>AVERAGEIFS($R$2:$R$131,$G$2:$G$131,"&gt;"&amp;U10,$G$2:$G$131,"&lt;"&amp;V10)</f>
        <v>0.91291200589151822</v>
      </c>
      <c r="Y10" s="36">
        <f>AVERAGEIFS($S$2:$S$131,$G$2:$G$131,"&gt;"&amp;U10,$G$2:$G$131,"&lt;"&amp;V10)</f>
        <v>0.91291200589151822</v>
      </c>
    </row>
    <row r="11" spans="1:25" x14ac:dyDescent="0.25">
      <c r="A11" s="29" t="s">
        <v>49</v>
      </c>
      <c r="B11" s="29" t="s">
        <v>50</v>
      </c>
      <c r="C11" s="31">
        <v>45428</v>
      </c>
      <c r="D11" s="27">
        <v>205500</v>
      </c>
      <c r="E11" s="27">
        <v>199380</v>
      </c>
      <c r="F11" s="27">
        <v>26775</v>
      </c>
      <c r="G11" s="27">
        <v>155393</v>
      </c>
      <c r="H11" s="27">
        <f t="shared" si="0"/>
        <v>182168</v>
      </c>
      <c r="I11" s="28">
        <v>1</v>
      </c>
      <c r="J11" s="28">
        <v>5191758</v>
      </c>
      <c r="K11" s="29" t="s">
        <v>51</v>
      </c>
      <c r="L11" s="32">
        <v>0.17</v>
      </c>
      <c r="M11" s="29">
        <v>728</v>
      </c>
      <c r="N11" s="29">
        <v>1932</v>
      </c>
      <c r="O11" s="29">
        <v>28</v>
      </c>
      <c r="P11" s="33">
        <f>(F11+G11)/E11</f>
        <v>0.91367238439161402</v>
      </c>
      <c r="Q11" s="28">
        <v>2.5</v>
      </c>
      <c r="R11" s="1">
        <f t="shared" si="1"/>
        <v>0.92926000601865788</v>
      </c>
      <c r="S11" s="1">
        <f t="shared" si="2"/>
        <v>0.92926000601865788</v>
      </c>
      <c r="T11" s="1"/>
      <c r="U11" s="36">
        <v>300001</v>
      </c>
      <c r="V11" s="36">
        <v>500000</v>
      </c>
      <c r="W11" s="36"/>
      <c r="X11" s="36">
        <f>AVERAGEIFS($R$2:$R$131,$G$2:$G$131,"&gt;"&amp;U11,$G$2:$G$131,"&lt;"&amp;V11)</f>
        <v>0.97950322571130255</v>
      </c>
      <c r="Y11" s="36">
        <f t="shared" ref="Y11:Y14" si="3">AVERAGEIFS($S$2:$S$131,$G$2:$G$131,"&gt;"&amp;U11,$G$2:$G$131,"&lt;"&amp;V11)</f>
        <v>0.96294855189993422</v>
      </c>
    </row>
    <row r="12" spans="1:25" x14ac:dyDescent="0.25">
      <c r="A12" s="29" t="s">
        <v>53</v>
      </c>
      <c r="B12" s="29" t="s">
        <v>54</v>
      </c>
      <c r="C12" s="31">
        <v>45616</v>
      </c>
      <c r="D12" s="27">
        <v>240000</v>
      </c>
      <c r="E12" s="27">
        <v>231600</v>
      </c>
      <c r="F12" s="27">
        <v>41000</v>
      </c>
      <c r="G12" s="27">
        <v>168614</v>
      </c>
      <c r="H12" s="27">
        <f t="shared" si="0"/>
        <v>209614</v>
      </c>
      <c r="I12" s="28">
        <v>2</v>
      </c>
      <c r="J12" s="28">
        <v>6353510</v>
      </c>
      <c r="K12" s="29" t="s">
        <v>55</v>
      </c>
      <c r="L12" s="32">
        <v>0.15</v>
      </c>
      <c r="M12" s="29">
        <v>1084</v>
      </c>
      <c r="N12" s="29">
        <v>1915</v>
      </c>
      <c r="O12" s="29">
        <v>18</v>
      </c>
      <c r="P12" s="33">
        <f>(F12+G12)/E12</f>
        <v>0.90506908462867008</v>
      </c>
      <c r="Q12" s="28">
        <v>3</v>
      </c>
      <c r="R12" s="1">
        <f t="shared" si="1"/>
        <v>0.91962987910189986</v>
      </c>
      <c r="S12" s="1">
        <f t="shared" si="2"/>
        <v>0.91962987910189986</v>
      </c>
      <c r="T12" s="1"/>
      <c r="U12" s="36">
        <v>500001</v>
      </c>
      <c r="V12" s="36">
        <v>750000</v>
      </c>
      <c r="W12" s="36"/>
      <c r="X12" s="36">
        <f>AVERAGEIFS($R$2:$R$131,$G$2:$G$131,"&gt;"&amp;U12,$G$2:$G$131,"&lt;"&amp;V12)</f>
        <v>0.93718357401088859</v>
      </c>
      <c r="Y12" s="36">
        <f t="shared" si="3"/>
        <v>0.92885132040676766</v>
      </c>
    </row>
    <row r="13" spans="1:25" x14ac:dyDescent="0.25">
      <c r="A13" s="29" t="s">
        <v>58</v>
      </c>
      <c r="B13" s="29" t="s">
        <v>59</v>
      </c>
      <c r="C13" s="31">
        <v>45366</v>
      </c>
      <c r="D13" s="27">
        <v>378000</v>
      </c>
      <c r="E13" s="27">
        <v>378000</v>
      </c>
      <c r="F13" s="27">
        <v>53250</v>
      </c>
      <c r="G13" s="27">
        <v>236866</v>
      </c>
      <c r="H13" s="27">
        <f t="shared" si="0"/>
        <v>290116</v>
      </c>
      <c r="I13" s="28">
        <v>2</v>
      </c>
      <c r="J13" s="28">
        <v>5253678</v>
      </c>
      <c r="K13" s="29" t="s">
        <v>60</v>
      </c>
      <c r="L13" s="32">
        <v>5</v>
      </c>
      <c r="M13" s="29">
        <v>1702</v>
      </c>
      <c r="N13" s="29">
        <v>2020</v>
      </c>
      <c r="O13" s="29">
        <v>2</v>
      </c>
      <c r="P13" s="33">
        <f>(F13+G13)/E13</f>
        <v>0.76750264550264546</v>
      </c>
      <c r="Q13" s="28">
        <v>3</v>
      </c>
      <c r="R13" s="1">
        <f t="shared" si="1"/>
        <v>0.78003523809523811</v>
      </c>
      <c r="S13" s="1">
        <f t="shared" si="2"/>
        <v>0.78003523809523811</v>
      </c>
      <c r="T13" s="1"/>
      <c r="U13" s="36">
        <v>750001</v>
      </c>
      <c r="V13" s="36">
        <v>1000000</v>
      </c>
      <c r="W13" s="36"/>
      <c r="X13" s="36" t="e">
        <f>AVERAGEIFS($R$2:$R$131,$G$2:$G$131,"&gt;"&amp;U13,$G$2:$G$131,"&lt;"&amp;V13)</f>
        <v>#DIV/0!</v>
      </c>
      <c r="Y13" s="36" t="e">
        <f t="shared" si="3"/>
        <v>#DIV/0!</v>
      </c>
    </row>
    <row r="14" spans="1:25" x14ac:dyDescent="0.25">
      <c r="A14" s="29" t="s">
        <v>63</v>
      </c>
      <c r="B14" s="29" t="s">
        <v>64</v>
      </c>
      <c r="C14" s="31">
        <v>45447</v>
      </c>
      <c r="D14" s="27">
        <v>240000</v>
      </c>
      <c r="E14" s="27">
        <v>240000</v>
      </c>
      <c r="F14" s="27">
        <v>74000</v>
      </c>
      <c r="G14" s="27">
        <v>112286</v>
      </c>
      <c r="H14" s="27">
        <f t="shared" si="0"/>
        <v>186286</v>
      </c>
      <c r="I14" s="28">
        <v>3</v>
      </c>
      <c r="J14" s="28">
        <v>1211575</v>
      </c>
      <c r="K14" s="29" t="s">
        <v>25</v>
      </c>
      <c r="L14" s="32">
        <v>5</v>
      </c>
      <c r="M14" s="29">
        <v>864</v>
      </c>
      <c r="N14" s="29">
        <v>1983</v>
      </c>
      <c r="O14" s="29">
        <v>17</v>
      </c>
      <c r="P14" s="33">
        <f>(F14+G14)/E14</f>
        <v>0.77619166666666661</v>
      </c>
      <c r="Q14" s="28">
        <v>3</v>
      </c>
      <c r="R14" s="1">
        <f t="shared" si="1"/>
        <v>0.78554883333333336</v>
      </c>
      <c r="S14" s="1">
        <f t="shared" si="2"/>
        <v>0.78554883333333336</v>
      </c>
      <c r="T14" s="1"/>
      <c r="U14" s="36">
        <v>1000001</v>
      </c>
      <c r="V14" s="36">
        <v>10000000</v>
      </c>
      <c r="W14" s="36"/>
      <c r="X14" s="36" t="e">
        <f>AVERAGEIFS($R$2:$R$131,$G$2:$G$131,"&gt;"&amp;U14,$G$2:$G$131,"&lt;"&amp;V14)</f>
        <v>#DIV/0!</v>
      </c>
      <c r="Y14" s="36" t="e">
        <f t="shared" si="3"/>
        <v>#DIV/0!</v>
      </c>
    </row>
    <row r="15" spans="1:25" x14ac:dyDescent="0.25">
      <c r="A15" s="29" t="s">
        <v>67</v>
      </c>
      <c r="B15" s="29" t="s">
        <v>68</v>
      </c>
      <c r="C15" s="31">
        <v>45588</v>
      </c>
      <c r="D15" s="27">
        <v>290000</v>
      </c>
      <c r="E15" s="27">
        <v>290000</v>
      </c>
      <c r="F15" s="27">
        <v>45900</v>
      </c>
      <c r="G15" s="27">
        <v>182573</v>
      </c>
      <c r="H15" s="27">
        <f t="shared" si="0"/>
        <v>228473</v>
      </c>
      <c r="I15" s="28">
        <v>2</v>
      </c>
      <c r="J15" s="28">
        <v>8153582</v>
      </c>
      <c r="K15" s="29" t="s">
        <v>55</v>
      </c>
      <c r="L15" s="32">
        <v>1</v>
      </c>
      <c r="M15" s="29">
        <v>1400</v>
      </c>
      <c r="N15" s="29">
        <v>1979</v>
      </c>
      <c r="O15" s="29">
        <v>18</v>
      </c>
      <c r="P15" s="33">
        <f>(F15+G15)/E15</f>
        <v>0.78783793103448274</v>
      </c>
      <c r="Q15" s="28">
        <v>3</v>
      </c>
      <c r="R15" s="1">
        <f t="shared" si="1"/>
        <v>0.80042917241379308</v>
      </c>
      <c r="S15" s="1">
        <f t="shared" si="2"/>
        <v>0.80042917241379308</v>
      </c>
      <c r="T15" s="1"/>
    </row>
    <row r="16" spans="1:25" x14ac:dyDescent="0.25">
      <c r="A16" s="29" t="s">
        <v>71</v>
      </c>
      <c r="B16" s="29" t="s">
        <v>72</v>
      </c>
      <c r="C16" s="31">
        <v>45627</v>
      </c>
      <c r="D16" s="27">
        <v>165000</v>
      </c>
      <c r="E16" s="27">
        <v>165000</v>
      </c>
      <c r="F16" s="27">
        <v>35430</v>
      </c>
      <c r="G16" s="27">
        <v>96924</v>
      </c>
      <c r="H16" s="27">
        <f t="shared" si="0"/>
        <v>132354</v>
      </c>
      <c r="I16" s="28">
        <v>4</v>
      </c>
      <c r="J16" s="28">
        <v>6111718</v>
      </c>
      <c r="K16" s="29" t="s">
        <v>73</v>
      </c>
      <c r="L16" s="32">
        <v>1.27</v>
      </c>
      <c r="M16" s="29">
        <v>1108</v>
      </c>
      <c r="N16" s="29">
        <v>1952</v>
      </c>
      <c r="O16" s="29">
        <v>28</v>
      </c>
      <c r="P16" s="33">
        <f>(F16+G16)/E16</f>
        <v>0.80214545454545449</v>
      </c>
      <c r="Q16" s="28">
        <v>2.5</v>
      </c>
      <c r="R16" s="1">
        <f t="shared" si="1"/>
        <v>0.81389381818181805</v>
      </c>
      <c r="S16" s="1">
        <f t="shared" si="2"/>
        <v>0.81389381818181805</v>
      </c>
      <c r="T16" s="1"/>
    </row>
    <row r="17" spans="1:24" x14ac:dyDescent="0.25">
      <c r="A17" s="29" t="s">
        <v>76</v>
      </c>
      <c r="B17" s="29" t="s">
        <v>77</v>
      </c>
      <c r="C17" s="31">
        <v>45492</v>
      </c>
      <c r="D17" s="27">
        <v>1050000</v>
      </c>
      <c r="E17" s="27">
        <v>1050000</v>
      </c>
      <c r="F17" s="27">
        <v>38800</v>
      </c>
      <c r="G17" s="27">
        <v>723220</v>
      </c>
      <c r="H17" s="27">
        <f t="shared" si="0"/>
        <v>762020</v>
      </c>
      <c r="I17" s="28">
        <v>2</v>
      </c>
      <c r="J17" s="28">
        <v>3211548</v>
      </c>
      <c r="K17" s="29" t="s">
        <v>78</v>
      </c>
      <c r="L17" s="32">
        <v>8.4600000000000009</v>
      </c>
      <c r="M17" s="29">
        <v>3754</v>
      </c>
      <c r="N17" s="29">
        <v>2014</v>
      </c>
      <c r="O17" s="29">
        <v>4</v>
      </c>
      <c r="P17" s="33">
        <f>(F17+G17)/E17</f>
        <v>0.72573333333333334</v>
      </c>
      <c r="Q17" s="28">
        <v>4</v>
      </c>
      <c r="R17" s="1">
        <f t="shared" si="1"/>
        <v>0.73950895238095238</v>
      </c>
      <c r="S17" s="1">
        <f t="shared" si="2"/>
        <v>0.73262114285714286</v>
      </c>
      <c r="T17" s="1"/>
      <c r="U17" s="36">
        <v>0</v>
      </c>
      <c r="V17" s="36">
        <v>300000</v>
      </c>
      <c r="W17" s="36"/>
      <c r="X17" s="36">
        <f>AVERAGEIFS($P$2:$P$131,$H$2:$H$131,"&gt;"&amp;U17,$H$2:$H$131,"&lt;"&amp;V17)</f>
        <v>0.8858218691825771</v>
      </c>
    </row>
    <row r="18" spans="1:24" x14ac:dyDescent="0.25">
      <c r="A18" s="29" t="s">
        <v>81</v>
      </c>
      <c r="B18" s="29" t="s">
        <v>82</v>
      </c>
      <c r="C18" s="31">
        <v>45457</v>
      </c>
      <c r="D18" s="27">
        <v>335000</v>
      </c>
      <c r="E18" s="27">
        <v>330000</v>
      </c>
      <c r="F18" s="27">
        <v>42162</v>
      </c>
      <c r="G18" s="27">
        <v>227036</v>
      </c>
      <c r="H18" s="27">
        <f t="shared" si="0"/>
        <v>269198</v>
      </c>
      <c r="I18" s="28">
        <v>1</v>
      </c>
      <c r="J18" s="28">
        <v>2173157</v>
      </c>
      <c r="K18" s="29" t="s">
        <v>43</v>
      </c>
      <c r="L18" s="32">
        <v>0.21</v>
      </c>
      <c r="M18" s="29">
        <v>864</v>
      </c>
      <c r="N18" s="29">
        <v>1977</v>
      </c>
      <c r="O18" s="29">
        <v>14</v>
      </c>
      <c r="P18" s="33">
        <f>(F18+G18)/E18</f>
        <v>0.81575151515151512</v>
      </c>
      <c r="Q18" s="28">
        <v>3</v>
      </c>
      <c r="R18" s="1">
        <f t="shared" si="1"/>
        <v>0.82951127272727265</v>
      </c>
      <c r="S18" s="1">
        <f t="shared" si="2"/>
        <v>0.82951127272727265</v>
      </c>
      <c r="T18" s="1"/>
      <c r="U18" s="36">
        <v>300001</v>
      </c>
      <c r="V18" s="36">
        <v>500000</v>
      </c>
      <c r="W18" s="36"/>
      <c r="X18" s="36">
        <f>AVERAGEIFS($P$2:$P$131,$H$2:$H$131,"&gt;"&amp;U18,$H$2:$H$131,"&lt;"&amp;V18)</f>
        <v>0.94864317238813844</v>
      </c>
    </row>
    <row r="19" spans="1:24" x14ac:dyDescent="0.25">
      <c r="A19" s="29" t="s">
        <v>85</v>
      </c>
      <c r="B19" s="29" t="s">
        <v>86</v>
      </c>
      <c r="C19" s="31">
        <v>45450</v>
      </c>
      <c r="D19" s="27">
        <v>345000</v>
      </c>
      <c r="E19" s="27">
        <v>345000</v>
      </c>
      <c r="F19" s="27">
        <v>74000</v>
      </c>
      <c r="G19" s="27">
        <v>255736</v>
      </c>
      <c r="H19" s="27">
        <f t="shared" si="0"/>
        <v>329736</v>
      </c>
      <c r="I19" s="28">
        <v>3</v>
      </c>
      <c r="J19" s="28">
        <v>1211575</v>
      </c>
      <c r="K19" s="29" t="s">
        <v>25</v>
      </c>
      <c r="L19" s="32">
        <v>5</v>
      </c>
      <c r="M19" s="29">
        <v>1728</v>
      </c>
      <c r="N19" s="29">
        <v>1999</v>
      </c>
      <c r="O19" s="29">
        <v>10</v>
      </c>
      <c r="P19" s="33">
        <f>(F19+G19)/E19</f>
        <v>0.95575652173913039</v>
      </c>
      <c r="Q19" s="28">
        <v>3</v>
      </c>
      <c r="R19" s="1">
        <f t="shared" si="1"/>
        <v>0.97058179710144921</v>
      </c>
      <c r="S19" s="1">
        <f t="shared" si="2"/>
        <v>0.97058179710144921</v>
      </c>
      <c r="T19" s="1"/>
      <c r="U19" s="36">
        <v>500001</v>
      </c>
      <c r="V19" s="36">
        <v>750000</v>
      </c>
      <c r="W19" s="36"/>
      <c r="X19" s="36">
        <f>AVERAGEIFS($P$2:$P$131,$H$2:$H$131,"&gt;"&amp;U19,$H$2:$H$131,"&lt;"&amp;V19)</f>
        <v>0.96350956831422496</v>
      </c>
    </row>
    <row r="20" spans="1:24" x14ac:dyDescent="0.25">
      <c r="A20" s="29" t="s">
        <v>89</v>
      </c>
      <c r="B20" s="29" t="s">
        <v>90</v>
      </c>
      <c r="C20" s="31">
        <v>45415</v>
      </c>
      <c r="D20" s="27">
        <v>322000</v>
      </c>
      <c r="E20" s="27">
        <v>322000</v>
      </c>
      <c r="F20" s="27">
        <v>56500</v>
      </c>
      <c r="G20" s="27">
        <v>215231</v>
      </c>
      <c r="H20" s="27">
        <f t="shared" si="0"/>
        <v>271731</v>
      </c>
      <c r="I20" s="28">
        <v>3</v>
      </c>
      <c r="J20" s="28">
        <v>6322246</v>
      </c>
      <c r="K20" s="29" t="s">
        <v>91</v>
      </c>
      <c r="L20" s="32">
        <v>10</v>
      </c>
      <c r="M20" s="29">
        <v>1365</v>
      </c>
      <c r="N20" s="29">
        <v>1984</v>
      </c>
      <c r="O20" s="29">
        <v>16</v>
      </c>
      <c r="P20" s="33">
        <f>(F20+G20)/E20</f>
        <v>0.84388509316770188</v>
      </c>
      <c r="Q20" s="28">
        <v>3</v>
      </c>
      <c r="R20" s="1">
        <f t="shared" si="1"/>
        <v>0.85725347826086951</v>
      </c>
      <c r="S20" s="1">
        <f t="shared" si="2"/>
        <v>0.85725347826086951</v>
      </c>
      <c r="T20" s="1"/>
      <c r="U20" s="36">
        <v>750001</v>
      </c>
      <c r="V20" s="36">
        <v>1000000</v>
      </c>
      <c r="W20" s="36"/>
      <c r="X20" s="36">
        <f>AVERAGEIFS($P$2:$P$131,$H$2:$H$131,"&gt;"&amp;U20,$H$2:$H$131,"&lt;"&amp;V20)</f>
        <v>0.72573333333333334</v>
      </c>
    </row>
    <row r="21" spans="1:24" x14ac:dyDescent="0.25">
      <c r="A21" s="29" t="s">
        <v>92</v>
      </c>
      <c r="B21" s="29" t="s">
        <v>93</v>
      </c>
      <c r="C21" s="31">
        <v>45489</v>
      </c>
      <c r="D21" s="27">
        <v>288000</v>
      </c>
      <c r="E21" s="27">
        <v>288000</v>
      </c>
      <c r="F21" s="27">
        <v>54584</v>
      </c>
      <c r="G21" s="27">
        <v>184078</v>
      </c>
      <c r="H21" s="27">
        <f t="shared" si="0"/>
        <v>238662</v>
      </c>
      <c r="I21" s="28">
        <v>2</v>
      </c>
      <c r="J21" s="28">
        <v>6353519</v>
      </c>
      <c r="K21" s="29" t="s">
        <v>55</v>
      </c>
      <c r="L21" s="32">
        <v>0.21</v>
      </c>
      <c r="M21" s="29">
        <v>1122</v>
      </c>
      <c r="N21" s="29">
        <v>1983</v>
      </c>
      <c r="O21" s="29">
        <v>17</v>
      </c>
      <c r="P21" s="33">
        <f>(F21+G21)/E21</f>
        <v>0.82868750000000002</v>
      </c>
      <c r="Q21" s="28">
        <v>3</v>
      </c>
      <c r="R21" s="1">
        <f t="shared" si="1"/>
        <v>0.84147069444444444</v>
      </c>
      <c r="S21" s="1">
        <f t="shared" si="2"/>
        <v>0.84147069444444444</v>
      </c>
      <c r="T21" s="1"/>
      <c r="U21" s="36">
        <v>1000001</v>
      </c>
      <c r="V21" s="36">
        <v>10000000</v>
      </c>
      <c r="W21" s="36"/>
      <c r="X21" s="36" t="e">
        <f>AVERAGEIFS($P$2:$P$131,$H$2:$H$131,"&gt;"&amp;U21,$H$2:$H$131,"&lt;"&amp;V21)</f>
        <v>#DIV/0!</v>
      </c>
    </row>
    <row r="22" spans="1:24" x14ac:dyDescent="0.25">
      <c r="A22" s="29" t="s">
        <v>96</v>
      </c>
      <c r="B22" s="29" t="s">
        <v>97</v>
      </c>
      <c r="C22" s="31">
        <v>45440</v>
      </c>
      <c r="D22" s="27">
        <v>89000</v>
      </c>
      <c r="E22" s="27">
        <v>89000</v>
      </c>
      <c r="F22" s="27">
        <v>30000</v>
      </c>
      <c r="G22" s="27">
        <v>44047</v>
      </c>
      <c r="H22" s="27">
        <f t="shared" si="0"/>
        <v>74047</v>
      </c>
      <c r="I22" s="28">
        <v>4</v>
      </c>
      <c r="J22" s="28">
        <v>7173513</v>
      </c>
      <c r="K22" s="29" t="s">
        <v>32</v>
      </c>
      <c r="L22" s="32">
        <v>10</v>
      </c>
      <c r="M22" s="29">
        <v>209</v>
      </c>
      <c r="N22" s="29">
        <v>2007</v>
      </c>
      <c r="O22" s="29">
        <v>7</v>
      </c>
      <c r="P22" s="33">
        <f>(F22+G22)/E22</f>
        <v>0.83198876404494382</v>
      </c>
      <c r="Q22" s="28">
        <v>3</v>
      </c>
      <c r="R22" s="1">
        <f t="shared" si="1"/>
        <v>0.84188696629213489</v>
      </c>
      <c r="S22" s="1">
        <f t="shared" si="2"/>
        <v>0.84188696629213489</v>
      </c>
      <c r="T22" s="1"/>
      <c r="U22" s="36"/>
      <c r="V22" s="36"/>
      <c r="W22" s="36"/>
      <c r="X22" s="36"/>
    </row>
    <row r="23" spans="1:24" x14ac:dyDescent="0.25">
      <c r="A23" s="29" t="s">
        <v>98</v>
      </c>
      <c r="B23" s="29" t="s">
        <v>99</v>
      </c>
      <c r="C23" s="31">
        <v>45356</v>
      </c>
      <c r="D23" s="27">
        <v>425000</v>
      </c>
      <c r="E23" s="27">
        <v>415000</v>
      </c>
      <c r="F23" s="27">
        <v>49879</v>
      </c>
      <c r="G23" s="27">
        <v>349669</v>
      </c>
      <c r="H23" s="27">
        <f t="shared" si="0"/>
        <v>399548</v>
      </c>
      <c r="I23" s="28">
        <v>1</v>
      </c>
      <c r="J23" s="28">
        <v>2173157</v>
      </c>
      <c r="K23" s="29" t="s">
        <v>43</v>
      </c>
      <c r="L23" s="32">
        <v>0.46</v>
      </c>
      <c r="M23" s="29">
        <v>2021</v>
      </c>
      <c r="N23" s="29">
        <v>1980</v>
      </c>
      <c r="O23" s="29">
        <v>18</v>
      </c>
      <c r="P23" s="33">
        <f>(F23+G23)/E23</f>
        <v>0.96276626506024099</v>
      </c>
      <c r="Q23" s="28">
        <v>3</v>
      </c>
      <c r="R23" s="1">
        <f t="shared" si="1"/>
        <v>0.97961778313253012</v>
      </c>
      <c r="S23" s="1">
        <f t="shared" si="2"/>
        <v>0.96276626506024099</v>
      </c>
      <c r="T23" s="1"/>
      <c r="U23" s="36"/>
      <c r="V23" s="36"/>
      <c r="W23" s="36"/>
      <c r="X23" s="36"/>
    </row>
    <row r="24" spans="1:24" x14ac:dyDescent="0.25">
      <c r="A24" s="29" t="s">
        <v>100</v>
      </c>
      <c r="B24" s="29" t="s">
        <v>101</v>
      </c>
      <c r="C24" s="31">
        <v>45617</v>
      </c>
      <c r="D24" s="27">
        <v>295000</v>
      </c>
      <c r="E24" s="27">
        <v>291000</v>
      </c>
      <c r="F24" s="27">
        <v>44200</v>
      </c>
      <c r="G24" s="27">
        <v>207885</v>
      </c>
      <c r="H24" s="27">
        <f t="shared" si="0"/>
        <v>252085</v>
      </c>
      <c r="I24" s="28">
        <v>2</v>
      </c>
      <c r="J24" s="28">
        <v>6353510</v>
      </c>
      <c r="K24" s="29" t="s">
        <v>55</v>
      </c>
      <c r="L24" s="32">
        <v>0.17</v>
      </c>
      <c r="M24" s="29">
        <v>1134</v>
      </c>
      <c r="N24" s="29">
        <v>1978</v>
      </c>
      <c r="O24" s="29">
        <v>18</v>
      </c>
      <c r="P24" s="33">
        <f>(F24+G24)/E24</f>
        <v>0.8662714776632302</v>
      </c>
      <c r="Q24" s="28">
        <v>3</v>
      </c>
      <c r="R24" s="1">
        <f t="shared" si="1"/>
        <v>0.88055910652920966</v>
      </c>
      <c r="S24" s="1">
        <f t="shared" si="2"/>
        <v>0.88055910652920966</v>
      </c>
      <c r="T24" s="1"/>
      <c r="U24" s="36">
        <v>0</v>
      </c>
      <c r="V24" s="36">
        <v>300000</v>
      </c>
      <c r="W24" s="36"/>
      <c r="X24" s="36">
        <f>AVERAGEIFS($R$2:$R$131,$H$2:$H$131,"&gt;"&amp;U24,$H$2:$H$131,"&lt;"&amp;V24)</f>
        <v>0.89952845120522251</v>
      </c>
    </row>
    <row r="25" spans="1:24" x14ac:dyDescent="0.25">
      <c r="A25" s="29" t="s">
        <v>102</v>
      </c>
      <c r="B25" s="29" t="s">
        <v>103</v>
      </c>
      <c r="C25" s="31">
        <v>45470</v>
      </c>
      <c r="D25" s="27">
        <v>280000</v>
      </c>
      <c r="E25" s="27">
        <v>276000</v>
      </c>
      <c r="F25" s="27">
        <v>50600</v>
      </c>
      <c r="G25" s="27">
        <v>195173</v>
      </c>
      <c r="H25" s="27">
        <f t="shared" si="0"/>
        <v>245773</v>
      </c>
      <c r="I25" s="28">
        <v>2</v>
      </c>
      <c r="J25" s="28">
        <v>6353510</v>
      </c>
      <c r="K25" s="29" t="s">
        <v>55</v>
      </c>
      <c r="L25" s="32">
        <v>0.21</v>
      </c>
      <c r="M25" s="29">
        <v>960</v>
      </c>
      <c r="N25" s="29">
        <v>1975</v>
      </c>
      <c r="O25" s="29">
        <v>20</v>
      </c>
      <c r="P25" s="33">
        <f>(F25+G25)/E25</f>
        <v>0.89048188405797102</v>
      </c>
      <c r="Q25" s="28">
        <v>3</v>
      </c>
      <c r="R25" s="1">
        <f t="shared" si="1"/>
        <v>0.90462485507246371</v>
      </c>
      <c r="S25" s="1">
        <f t="shared" si="2"/>
        <v>0.90462485507246371</v>
      </c>
      <c r="T25" s="1"/>
      <c r="U25" s="36">
        <v>300001</v>
      </c>
      <c r="V25" s="36">
        <v>500000</v>
      </c>
      <c r="W25" s="36"/>
      <c r="X25" s="36">
        <f>AVERAGEIFS($R$2:$R$131,$H$2:$H$131,"&gt;"&amp;U25,$H$2:$H$131,"&lt;"&amp;V25)</f>
        <v>0.96460930377608822</v>
      </c>
    </row>
    <row r="26" spans="1:24" x14ac:dyDescent="0.25">
      <c r="A26" s="29" t="s">
        <v>104</v>
      </c>
      <c r="B26" s="29" t="s">
        <v>105</v>
      </c>
      <c r="C26" s="31">
        <v>45309</v>
      </c>
      <c r="D26" s="27">
        <v>275000</v>
      </c>
      <c r="E26" s="27">
        <v>260000</v>
      </c>
      <c r="F26" s="27">
        <v>39400</v>
      </c>
      <c r="G26" s="27">
        <v>182820</v>
      </c>
      <c r="H26" s="27">
        <f t="shared" si="0"/>
        <v>222220</v>
      </c>
      <c r="I26" s="28">
        <v>2</v>
      </c>
      <c r="J26" s="28">
        <v>6353510</v>
      </c>
      <c r="K26" s="29" t="s">
        <v>55</v>
      </c>
      <c r="L26" s="32">
        <v>0.14000000000000001</v>
      </c>
      <c r="M26" s="29">
        <v>1175</v>
      </c>
      <c r="N26" s="29">
        <v>1978</v>
      </c>
      <c r="O26" s="29">
        <v>18</v>
      </c>
      <c r="P26" s="33">
        <f>(F26+G26)/E26</f>
        <v>0.85469230769230764</v>
      </c>
      <c r="Q26" s="28">
        <v>3</v>
      </c>
      <c r="R26" s="1">
        <f t="shared" si="1"/>
        <v>0.8687553846153846</v>
      </c>
      <c r="S26" s="1">
        <f t="shared" si="2"/>
        <v>0.8687553846153846</v>
      </c>
      <c r="T26" s="1"/>
      <c r="U26" s="36">
        <v>500001</v>
      </c>
      <c r="V26" s="36">
        <v>750000</v>
      </c>
      <c r="W26" s="36"/>
      <c r="X26" s="36">
        <f>AVERAGEIFS($R$2:$R$131,$H$2:$H$131,"&gt;"&amp;U26,$H$2:$H$131,"&lt;"&amp;V26)</f>
        <v>0.98062395200384</v>
      </c>
    </row>
    <row r="27" spans="1:24" x14ac:dyDescent="0.25">
      <c r="A27" s="29" t="s">
        <v>106</v>
      </c>
      <c r="B27" s="29" t="s">
        <v>107</v>
      </c>
      <c r="C27" s="31">
        <v>45294</v>
      </c>
      <c r="D27" s="27">
        <v>485000</v>
      </c>
      <c r="E27" s="27">
        <v>477725</v>
      </c>
      <c r="F27" s="27">
        <v>71625</v>
      </c>
      <c r="G27" s="27">
        <v>286915</v>
      </c>
      <c r="H27" s="27">
        <f t="shared" si="0"/>
        <v>358540</v>
      </c>
      <c r="I27" s="28">
        <v>2</v>
      </c>
      <c r="J27" s="28">
        <v>3211518</v>
      </c>
      <c r="K27" s="29" t="s">
        <v>78</v>
      </c>
      <c r="L27" s="32">
        <v>2.54</v>
      </c>
      <c r="M27" s="29">
        <v>1342</v>
      </c>
      <c r="N27" s="29">
        <v>2003</v>
      </c>
      <c r="O27" s="29">
        <v>8</v>
      </c>
      <c r="P27" s="33">
        <f>(F27+G27)/E27</f>
        <v>0.75051546391752577</v>
      </c>
      <c r="Q27" s="28">
        <v>3.5</v>
      </c>
      <c r="R27" s="1">
        <f t="shared" si="1"/>
        <v>0.76252718614265524</v>
      </c>
      <c r="S27" s="1">
        <f t="shared" si="2"/>
        <v>0.76252718614265524</v>
      </c>
      <c r="T27" s="1"/>
      <c r="U27" s="36">
        <v>750001</v>
      </c>
      <c r="V27" s="36">
        <v>1000000</v>
      </c>
      <c r="W27" s="36"/>
      <c r="X27" s="36">
        <f>AVERAGEIFS($R$2:$R$131,$H$2:$H$131,"&gt;"&amp;U27,$H$2:$H$131,"&lt;"&amp;V27)</f>
        <v>0.73950895238095238</v>
      </c>
    </row>
    <row r="28" spans="1:24" x14ac:dyDescent="0.25">
      <c r="A28" s="29" t="s">
        <v>108</v>
      </c>
      <c r="B28" s="29" t="s">
        <v>109</v>
      </c>
      <c r="C28" s="31">
        <v>45364</v>
      </c>
      <c r="D28" s="27">
        <v>252500</v>
      </c>
      <c r="E28" s="27">
        <v>252500</v>
      </c>
      <c r="F28" s="27">
        <v>64000</v>
      </c>
      <c r="G28" s="27">
        <v>98848</v>
      </c>
      <c r="H28" s="27">
        <f t="shared" si="0"/>
        <v>162848</v>
      </c>
      <c r="I28" s="28">
        <v>4</v>
      </c>
      <c r="J28" s="28">
        <v>5172568</v>
      </c>
      <c r="K28" s="29" t="s">
        <v>110</v>
      </c>
      <c r="L28" s="32">
        <v>10</v>
      </c>
      <c r="M28" s="29">
        <v>1248</v>
      </c>
      <c r="N28" s="29">
        <v>1982</v>
      </c>
      <c r="O28" s="29">
        <v>0</v>
      </c>
      <c r="P28" s="33">
        <f>(F28+G28)/E28</f>
        <v>0.64494257425742574</v>
      </c>
      <c r="Q28" s="28">
        <v>3</v>
      </c>
      <c r="R28" s="1">
        <f t="shared" si="1"/>
        <v>0.65277211881188124</v>
      </c>
      <c r="S28" s="1">
        <f t="shared" si="2"/>
        <v>0.65277211881188124</v>
      </c>
      <c r="T28" s="1"/>
      <c r="U28" s="36">
        <v>1000001</v>
      </c>
      <c r="V28" s="36">
        <v>10000000</v>
      </c>
      <c r="W28" s="36"/>
      <c r="X28" s="36" t="e">
        <f>AVERAGEIFS($R$2:$R$131,$H$2:$H$131,"&gt;"&amp;U28,$H$2:$H$131,"&lt;"&amp;V28)</f>
        <v>#DIV/0!</v>
      </c>
    </row>
    <row r="29" spans="1:24" x14ac:dyDescent="0.25">
      <c r="A29" s="29" t="s">
        <v>113</v>
      </c>
      <c r="B29" s="29" t="s">
        <v>114</v>
      </c>
      <c r="C29" s="31">
        <v>45526</v>
      </c>
      <c r="D29" s="27">
        <v>460000</v>
      </c>
      <c r="E29" s="27">
        <v>460000</v>
      </c>
      <c r="F29" s="27">
        <v>89000</v>
      </c>
      <c r="G29" s="27">
        <v>300369</v>
      </c>
      <c r="H29" s="27">
        <f t="shared" si="0"/>
        <v>389369</v>
      </c>
      <c r="I29" s="28">
        <v>3</v>
      </c>
      <c r="J29" s="28">
        <v>6322246</v>
      </c>
      <c r="K29" s="29" t="s">
        <v>91</v>
      </c>
      <c r="L29" s="32">
        <v>10</v>
      </c>
      <c r="M29" s="29">
        <v>1824</v>
      </c>
      <c r="N29" s="29">
        <v>2001</v>
      </c>
      <c r="O29" s="29">
        <v>8</v>
      </c>
      <c r="P29" s="33">
        <f>(F29+G29)/E29</f>
        <v>0.84645434782608697</v>
      </c>
      <c r="Q29" s="28">
        <v>3</v>
      </c>
      <c r="R29" s="1">
        <f t="shared" si="1"/>
        <v>0.85951386956521736</v>
      </c>
      <c r="S29" s="1">
        <f t="shared" si="2"/>
        <v>0.84645434782608697</v>
      </c>
      <c r="T29" s="1"/>
      <c r="U29" s="38"/>
      <c r="V29" s="36"/>
      <c r="W29" s="36"/>
      <c r="X29" s="36"/>
    </row>
    <row r="30" spans="1:24" x14ac:dyDescent="0.25">
      <c r="A30" s="29" t="s">
        <v>115</v>
      </c>
      <c r="B30" s="29" t="s">
        <v>116</v>
      </c>
      <c r="C30" s="31">
        <v>45413</v>
      </c>
      <c r="D30" s="27">
        <v>530000</v>
      </c>
      <c r="E30" s="27">
        <v>530000</v>
      </c>
      <c r="F30" s="27">
        <v>71250</v>
      </c>
      <c r="G30" s="27">
        <v>378507</v>
      </c>
      <c r="H30" s="27">
        <f t="shared" si="0"/>
        <v>449757</v>
      </c>
      <c r="I30" s="28">
        <v>2</v>
      </c>
      <c r="J30" s="28">
        <v>3211518</v>
      </c>
      <c r="K30" s="29" t="s">
        <v>78</v>
      </c>
      <c r="L30" s="32">
        <v>2.52</v>
      </c>
      <c r="M30" s="29">
        <v>2073</v>
      </c>
      <c r="N30" s="29">
        <v>2005</v>
      </c>
      <c r="O30" s="29">
        <v>8</v>
      </c>
      <c r="P30" s="33">
        <f>(F30+G30)/E30</f>
        <v>0.84859811320754719</v>
      </c>
      <c r="Q30" s="28">
        <v>3.5</v>
      </c>
      <c r="R30" s="1">
        <f t="shared" si="1"/>
        <v>0.86288139622641513</v>
      </c>
      <c r="S30" s="1">
        <f t="shared" si="2"/>
        <v>0.84859811320754719</v>
      </c>
      <c r="T30" s="1"/>
      <c r="U30" s="36"/>
      <c r="V30" s="36"/>
      <c r="W30" s="36"/>
      <c r="X30" s="36"/>
    </row>
    <row r="31" spans="1:24" x14ac:dyDescent="0.25">
      <c r="A31" s="34" t="s">
        <v>117</v>
      </c>
      <c r="B31" s="34" t="s">
        <v>118</v>
      </c>
      <c r="C31" s="34">
        <v>45350</v>
      </c>
      <c r="D31" s="34">
        <v>798000</v>
      </c>
      <c r="E31" s="34">
        <v>798000</v>
      </c>
      <c r="F31" s="34">
        <v>67125</v>
      </c>
      <c r="G31" s="34">
        <v>611324</v>
      </c>
      <c r="H31" s="27">
        <f t="shared" si="0"/>
        <v>678449</v>
      </c>
      <c r="I31" s="34">
        <v>2</v>
      </c>
      <c r="J31" s="34">
        <v>3211518</v>
      </c>
      <c r="K31" s="34" t="s">
        <v>78</v>
      </c>
      <c r="L31" s="34">
        <v>2.2999999999999998</v>
      </c>
      <c r="M31" s="34">
        <v>4600</v>
      </c>
      <c r="N31" s="34">
        <v>1991</v>
      </c>
      <c r="O31" s="34">
        <v>0</v>
      </c>
      <c r="P31" s="35">
        <f>(F31+G31)/E31</f>
        <v>0.85018671679197999</v>
      </c>
      <c r="Q31" s="34">
        <v>3</v>
      </c>
      <c r="R31" s="1">
        <f t="shared" si="1"/>
        <v>0.86550812030075186</v>
      </c>
      <c r="S31" s="1">
        <f t="shared" si="2"/>
        <v>0.85784741854636593</v>
      </c>
      <c r="T31" s="1"/>
      <c r="U31" s="36"/>
      <c r="V31" s="36"/>
      <c r="W31" s="36"/>
      <c r="X31" s="36"/>
    </row>
    <row r="32" spans="1:24" x14ac:dyDescent="0.25">
      <c r="A32" s="34" t="s">
        <v>119</v>
      </c>
      <c r="B32" s="34" t="s">
        <v>120</v>
      </c>
      <c r="C32" s="34">
        <v>45470</v>
      </c>
      <c r="D32" s="34">
        <v>245000</v>
      </c>
      <c r="E32" s="34">
        <v>245000</v>
      </c>
      <c r="F32" s="34">
        <v>44200</v>
      </c>
      <c r="G32" s="34">
        <v>252056</v>
      </c>
      <c r="H32" s="27">
        <f t="shared" si="0"/>
        <v>296256</v>
      </c>
      <c r="I32" s="34">
        <v>2</v>
      </c>
      <c r="J32" s="34">
        <v>6353510</v>
      </c>
      <c r="K32" s="34" t="s">
        <v>55</v>
      </c>
      <c r="L32" s="34">
        <v>0.17</v>
      </c>
      <c r="M32" s="34">
        <v>1261</v>
      </c>
      <c r="N32" s="34">
        <v>1928</v>
      </c>
      <c r="O32" s="34">
        <v>18</v>
      </c>
      <c r="P32" s="35">
        <f>(F32+G32)/E32</f>
        <v>1.2092081632653062</v>
      </c>
      <c r="Q32" s="34">
        <v>3</v>
      </c>
      <c r="R32" s="1">
        <f t="shared" si="1"/>
        <v>1.2297841632653062</v>
      </c>
      <c r="S32" s="1">
        <f t="shared" si="2"/>
        <v>1.2297841632653062</v>
      </c>
      <c r="U32" s="38"/>
      <c r="V32" s="36"/>
      <c r="W32" s="36"/>
      <c r="X32" s="36"/>
    </row>
    <row r="33" spans="1:24" x14ac:dyDescent="0.25">
      <c r="A33" s="34" t="s">
        <v>121</v>
      </c>
      <c r="B33" s="34" t="s">
        <v>122</v>
      </c>
      <c r="C33" s="34">
        <v>45597</v>
      </c>
      <c r="D33" s="34">
        <v>325000</v>
      </c>
      <c r="E33" s="34">
        <v>325000</v>
      </c>
      <c r="F33" s="34">
        <v>44058</v>
      </c>
      <c r="G33" s="34">
        <v>233180</v>
      </c>
      <c r="H33" s="27">
        <f t="shared" si="0"/>
        <v>277238</v>
      </c>
      <c r="I33" s="34">
        <v>1</v>
      </c>
      <c r="J33" s="34">
        <v>2173157</v>
      </c>
      <c r="K33" s="34" t="s">
        <v>43</v>
      </c>
      <c r="L33" s="34">
        <v>0.24</v>
      </c>
      <c r="M33" s="34">
        <v>1876</v>
      </c>
      <c r="N33" s="34">
        <v>1980</v>
      </c>
      <c r="O33" s="34">
        <v>18</v>
      </c>
      <c r="P33" s="35">
        <f>(F33+G33)/E33</f>
        <v>0.85304000000000002</v>
      </c>
      <c r="Q33" s="34">
        <v>3</v>
      </c>
      <c r="R33" s="1">
        <f t="shared" si="1"/>
        <v>0.86738953846153843</v>
      </c>
      <c r="S33" s="1">
        <f t="shared" si="2"/>
        <v>0.86738953846153843</v>
      </c>
      <c r="U33" s="36"/>
      <c r="V33" s="36"/>
      <c r="W33" s="36"/>
      <c r="X33" s="36"/>
    </row>
    <row r="34" spans="1:24" x14ac:dyDescent="0.25">
      <c r="A34" s="34" t="s">
        <v>123</v>
      </c>
      <c r="B34" s="34" t="s">
        <v>124</v>
      </c>
      <c r="C34" s="34">
        <v>45413</v>
      </c>
      <c r="D34" s="34">
        <v>319000</v>
      </c>
      <c r="E34" s="34">
        <v>309500</v>
      </c>
      <c r="F34" s="34">
        <v>45926</v>
      </c>
      <c r="G34" s="34">
        <v>218391</v>
      </c>
      <c r="H34" s="27">
        <f t="shared" si="0"/>
        <v>264317</v>
      </c>
      <c r="I34" s="34">
        <v>1</v>
      </c>
      <c r="J34" s="34">
        <v>2173157</v>
      </c>
      <c r="K34" s="34" t="s">
        <v>43</v>
      </c>
      <c r="L34" s="34">
        <v>0.28000000000000003</v>
      </c>
      <c r="M34" s="34">
        <v>1118</v>
      </c>
      <c r="N34" s="34">
        <v>2023</v>
      </c>
      <c r="O34" s="34">
        <v>1</v>
      </c>
      <c r="P34" s="35">
        <f>(F34+G34)/E34</f>
        <v>0.85401292407108242</v>
      </c>
      <c r="Q34" s="34">
        <v>3.5</v>
      </c>
      <c r="R34" s="1">
        <f t="shared" si="1"/>
        <v>0.8681254281098546</v>
      </c>
      <c r="S34" s="1">
        <f t="shared" si="2"/>
        <v>0.8681254281098546</v>
      </c>
      <c r="U34" s="36"/>
      <c r="V34" s="36"/>
      <c r="W34" s="36"/>
      <c r="X34" s="36"/>
    </row>
    <row r="35" spans="1:24" x14ac:dyDescent="0.25">
      <c r="A35" s="34" t="s">
        <v>125</v>
      </c>
      <c r="B35" s="34" t="s">
        <v>126</v>
      </c>
      <c r="C35" s="34">
        <v>45601</v>
      </c>
      <c r="D35" s="34">
        <v>300000</v>
      </c>
      <c r="E35" s="34">
        <v>300000</v>
      </c>
      <c r="F35" s="34">
        <v>39400</v>
      </c>
      <c r="G35" s="34">
        <v>218393</v>
      </c>
      <c r="H35" s="27">
        <f t="shared" si="0"/>
        <v>257793</v>
      </c>
      <c r="I35" s="34">
        <v>2</v>
      </c>
      <c r="J35" s="34">
        <v>6353510</v>
      </c>
      <c r="K35" s="34" t="s">
        <v>55</v>
      </c>
      <c r="L35" s="34">
        <v>0.14000000000000001</v>
      </c>
      <c r="M35" s="34">
        <v>1200</v>
      </c>
      <c r="N35" s="34">
        <v>1978</v>
      </c>
      <c r="O35" s="34">
        <v>18</v>
      </c>
      <c r="P35" s="35">
        <f>(F35+G35)/E35</f>
        <v>0.85931000000000002</v>
      </c>
      <c r="Q35" s="34">
        <v>3</v>
      </c>
      <c r="R35" s="1">
        <f t="shared" si="1"/>
        <v>0.87386953333333328</v>
      </c>
      <c r="S35" s="1">
        <f t="shared" si="2"/>
        <v>0.87386953333333328</v>
      </c>
      <c r="U35" s="36"/>
      <c r="V35" s="36"/>
      <c r="W35" s="36"/>
      <c r="X35" s="36"/>
    </row>
    <row r="36" spans="1:24" x14ac:dyDescent="0.25">
      <c r="A36" s="34" t="s">
        <v>127</v>
      </c>
      <c r="B36" s="34" t="s">
        <v>128</v>
      </c>
      <c r="C36" s="34">
        <v>45482</v>
      </c>
      <c r="D36" s="34">
        <v>460000</v>
      </c>
      <c r="E36" s="34">
        <v>443900</v>
      </c>
      <c r="F36" s="34">
        <v>54584</v>
      </c>
      <c r="G36" s="34">
        <v>326934</v>
      </c>
      <c r="H36" s="27">
        <f t="shared" si="0"/>
        <v>381518</v>
      </c>
      <c r="I36" s="34">
        <v>2</v>
      </c>
      <c r="J36" s="34">
        <v>6353519</v>
      </c>
      <c r="K36" s="34" t="s">
        <v>55</v>
      </c>
      <c r="L36" s="34">
        <v>0.26</v>
      </c>
      <c r="M36" s="34">
        <v>1862</v>
      </c>
      <c r="N36" s="34">
        <v>2012</v>
      </c>
      <c r="O36" s="34">
        <v>5</v>
      </c>
      <c r="P36" s="35">
        <f>(F36+G36)/E36</f>
        <v>0.8594683487271908</v>
      </c>
      <c r="Q36" s="34">
        <v>3</v>
      </c>
      <c r="R36" s="1">
        <f t="shared" si="1"/>
        <v>0.87419842306825857</v>
      </c>
      <c r="S36" s="1">
        <f t="shared" si="2"/>
        <v>0.8594683487271908</v>
      </c>
      <c r="U36" s="36"/>
      <c r="V36" s="36"/>
      <c r="W36" s="36"/>
      <c r="X36" s="36"/>
    </row>
    <row r="37" spans="1:24" x14ac:dyDescent="0.25">
      <c r="A37" s="34" t="s">
        <v>129</v>
      </c>
      <c r="B37" s="34" t="s">
        <v>130</v>
      </c>
      <c r="C37" s="34">
        <v>45348</v>
      </c>
      <c r="D37" s="34">
        <v>278000</v>
      </c>
      <c r="E37" s="34">
        <v>278000</v>
      </c>
      <c r="F37" s="34">
        <v>40000</v>
      </c>
      <c r="G37" s="34">
        <v>34138</v>
      </c>
      <c r="H37" s="27">
        <f t="shared" si="0"/>
        <v>74138</v>
      </c>
      <c r="I37" s="34">
        <v>4</v>
      </c>
      <c r="J37" s="34">
        <v>1322214</v>
      </c>
      <c r="K37" s="34" t="s">
        <v>131</v>
      </c>
      <c r="L37" s="34">
        <v>5</v>
      </c>
      <c r="M37" s="34">
        <v>1923</v>
      </c>
      <c r="N37" s="34">
        <v>1930</v>
      </c>
      <c r="O37" s="34">
        <v>0</v>
      </c>
      <c r="P37" s="35">
        <f>(F37+G37)/E37</f>
        <v>0.26668345323741005</v>
      </c>
      <c r="Q37" s="34">
        <v>3</v>
      </c>
      <c r="R37" s="1">
        <f t="shared" si="1"/>
        <v>0.26913942446043171</v>
      </c>
      <c r="S37" s="1">
        <f t="shared" si="2"/>
        <v>0.26913942446043171</v>
      </c>
      <c r="U37" s="36"/>
      <c r="V37" s="36"/>
      <c r="W37" s="36"/>
      <c r="X37" s="36"/>
    </row>
    <row r="38" spans="1:24" x14ac:dyDescent="0.25">
      <c r="A38" s="34" t="s">
        <v>132</v>
      </c>
      <c r="B38" s="34" t="s">
        <v>133</v>
      </c>
      <c r="C38" s="34">
        <v>45589</v>
      </c>
      <c r="D38" s="34">
        <v>175000</v>
      </c>
      <c r="E38" s="34">
        <v>175000</v>
      </c>
      <c r="F38" s="34">
        <v>35500</v>
      </c>
      <c r="G38" s="34">
        <v>92301</v>
      </c>
      <c r="H38" s="27">
        <f t="shared" si="0"/>
        <v>127801</v>
      </c>
      <c r="I38" s="34">
        <v>3</v>
      </c>
      <c r="J38" s="34">
        <v>7172614</v>
      </c>
      <c r="K38" s="34" t="s">
        <v>134</v>
      </c>
      <c r="L38" s="34">
        <v>20</v>
      </c>
      <c r="M38" s="34">
        <v>625</v>
      </c>
      <c r="N38" s="34">
        <v>1976</v>
      </c>
      <c r="O38" s="34">
        <v>19</v>
      </c>
      <c r="P38" s="35">
        <f>(F38+G38)/E38</f>
        <v>0.73029142857142859</v>
      </c>
      <c r="Q38" s="34">
        <v>3</v>
      </c>
      <c r="R38" s="1">
        <f t="shared" si="1"/>
        <v>0.74084011428571428</v>
      </c>
      <c r="S38" s="1">
        <f t="shared" si="2"/>
        <v>0.74084011428571428</v>
      </c>
      <c r="U38" s="36"/>
      <c r="V38" s="36"/>
      <c r="W38" s="36"/>
      <c r="X38" s="36"/>
    </row>
    <row r="39" spans="1:24" x14ac:dyDescent="0.25">
      <c r="A39" s="34" t="s">
        <v>135</v>
      </c>
      <c r="B39" s="34" t="s">
        <v>136</v>
      </c>
      <c r="C39" s="34">
        <v>45604</v>
      </c>
      <c r="D39" s="34">
        <v>255000</v>
      </c>
      <c r="E39" s="34">
        <v>255000</v>
      </c>
      <c r="F39" s="34">
        <v>35750</v>
      </c>
      <c r="G39" s="34">
        <v>174919</v>
      </c>
      <c r="H39" s="27">
        <f t="shared" si="0"/>
        <v>210669</v>
      </c>
      <c r="I39" s="34">
        <v>1</v>
      </c>
      <c r="J39" s="34">
        <v>5133573</v>
      </c>
      <c r="K39" s="34" t="s">
        <v>137</v>
      </c>
      <c r="L39" s="34">
        <v>5</v>
      </c>
      <c r="M39" s="34">
        <v>1229</v>
      </c>
      <c r="N39" s="34">
        <v>2002</v>
      </c>
      <c r="O39" s="34">
        <v>9</v>
      </c>
      <c r="P39" s="35">
        <f>(F39+G39)/E39</f>
        <v>0.82615294117647053</v>
      </c>
      <c r="Q39" s="34">
        <v>3</v>
      </c>
      <c r="R39" s="1">
        <f t="shared" si="1"/>
        <v>0.83987207843137257</v>
      </c>
      <c r="S39" s="1">
        <f t="shared" si="2"/>
        <v>0.83987207843137257</v>
      </c>
      <c r="V39" s="36"/>
    </row>
    <row r="40" spans="1:24" x14ac:dyDescent="0.25">
      <c r="A40" s="34" t="s">
        <v>138</v>
      </c>
      <c r="B40" s="34" t="s">
        <v>139</v>
      </c>
      <c r="C40" s="34">
        <v>45299</v>
      </c>
      <c r="D40" s="34">
        <v>260000</v>
      </c>
      <c r="E40" s="34">
        <v>260000</v>
      </c>
      <c r="F40" s="34">
        <v>57464</v>
      </c>
      <c r="G40" s="34">
        <v>164060</v>
      </c>
      <c r="H40" s="27">
        <f t="shared" si="0"/>
        <v>221524</v>
      </c>
      <c r="I40" s="34">
        <v>3</v>
      </c>
      <c r="J40" s="34">
        <v>8222715</v>
      </c>
      <c r="K40" s="34" t="s">
        <v>140</v>
      </c>
      <c r="L40" s="34">
        <v>7.12</v>
      </c>
      <c r="M40" s="34">
        <v>1052</v>
      </c>
      <c r="N40" s="34">
        <v>2012</v>
      </c>
      <c r="O40" s="34">
        <v>5</v>
      </c>
      <c r="P40" s="35">
        <f>(F40+G40)/E40</f>
        <v>0.85201538461538462</v>
      </c>
      <c r="Q40" s="34">
        <v>3</v>
      </c>
      <c r="R40" s="1">
        <f t="shared" si="1"/>
        <v>0.86463538461538469</v>
      </c>
      <c r="S40" s="1">
        <f t="shared" si="2"/>
        <v>0.86463538461538469</v>
      </c>
      <c r="V40" s="36"/>
    </row>
    <row r="41" spans="1:24" x14ac:dyDescent="0.25">
      <c r="A41" s="34" t="s">
        <v>141</v>
      </c>
      <c r="B41" s="34" t="s">
        <v>142</v>
      </c>
      <c r="C41" s="34">
        <v>45329</v>
      </c>
      <c r="D41" s="34">
        <v>279278</v>
      </c>
      <c r="E41" s="34">
        <v>279278</v>
      </c>
      <c r="F41" s="34">
        <v>29700</v>
      </c>
      <c r="G41" s="34">
        <v>215252</v>
      </c>
      <c r="H41" s="27">
        <f t="shared" si="0"/>
        <v>244952</v>
      </c>
      <c r="I41" s="34">
        <v>4</v>
      </c>
      <c r="J41" s="34">
        <v>1143762</v>
      </c>
      <c r="K41" s="34" t="s">
        <v>143</v>
      </c>
      <c r="L41" s="34">
        <v>0.9</v>
      </c>
      <c r="M41" s="34">
        <v>1232</v>
      </c>
      <c r="N41" s="34">
        <v>1979</v>
      </c>
      <c r="O41" s="34">
        <v>0</v>
      </c>
      <c r="P41" s="35">
        <f>(F41+G41)/E41</f>
        <v>0.87709021118741903</v>
      </c>
      <c r="Q41" s="34">
        <v>3.5</v>
      </c>
      <c r="R41" s="1">
        <f t="shared" si="1"/>
        <v>0.89250510244272729</v>
      </c>
      <c r="S41" s="1">
        <f t="shared" si="2"/>
        <v>0.89250510244272729</v>
      </c>
      <c r="V41" s="36"/>
    </row>
    <row r="42" spans="1:24" x14ac:dyDescent="0.25">
      <c r="A42" s="34" t="s">
        <v>144</v>
      </c>
      <c r="B42" s="34" t="s">
        <v>145</v>
      </c>
      <c r="C42" s="34">
        <v>45435</v>
      </c>
      <c r="D42" s="34">
        <v>352500</v>
      </c>
      <c r="E42" s="34">
        <v>341900</v>
      </c>
      <c r="F42" s="34">
        <v>50600</v>
      </c>
      <c r="G42" s="34">
        <v>264015</v>
      </c>
      <c r="H42" s="27">
        <f t="shared" si="0"/>
        <v>314615</v>
      </c>
      <c r="I42" s="34">
        <v>2</v>
      </c>
      <c r="J42" s="34">
        <v>6353510</v>
      </c>
      <c r="K42" s="34" t="s">
        <v>55</v>
      </c>
      <c r="L42" s="34">
        <v>0.21</v>
      </c>
      <c r="M42" s="34">
        <v>1684</v>
      </c>
      <c r="N42" s="34">
        <v>1954</v>
      </c>
      <c r="O42" s="34">
        <v>18</v>
      </c>
      <c r="P42" s="35">
        <f>(F42+G42)/E42</f>
        <v>0.92019596373208545</v>
      </c>
      <c r="Q42" s="34">
        <v>3</v>
      </c>
      <c r="R42" s="1">
        <f t="shared" si="1"/>
        <v>0.93563995320269078</v>
      </c>
      <c r="S42" s="1">
        <f t="shared" si="2"/>
        <v>0.93563995320269078</v>
      </c>
      <c r="V42" s="36"/>
    </row>
    <row r="43" spans="1:24" x14ac:dyDescent="0.25">
      <c r="A43" s="34" t="s">
        <v>146</v>
      </c>
      <c r="B43" s="34" t="s">
        <v>147</v>
      </c>
      <c r="C43" s="34">
        <v>45383</v>
      </c>
      <c r="D43" s="34">
        <v>310000</v>
      </c>
      <c r="E43" s="34">
        <v>300700</v>
      </c>
      <c r="F43" s="34">
        <v>46275</v>
      </c>
      <c r="G43" s="34">
        <v>218093</v>
      </c>
      <c r="H43" s="27">
        <f t="shared" si="0"/>
        <v>264368</v>
      </c>
      <c r="I43" s="34">
        <v>1</v>
      </c>
      <c r="J43" s="34">
        <v>2173157</v>
      </c>
      <c r="K43" s="34" t="s">
        <v>43</v>
      </c>
      <c r="L43" s="34">
        <v>0.28999999999999998</v>
      </c>
      <c r="M43" s="34">
        <v>1117</v>
      </c>
      <c r="N43" s="34">
        <v>2023</v>
      </c>
      <c r="O43" s="34">
        <v>1</v>
      </c>
      <c r="P43" s="35">
        <f>(F43+G43)/E43</f>
        <v>0.87917525773195881</v>
      </c>
      <c r="Q43" s="34">
        <v>3.5</v>
      </c>
      <c r="R43" s="1">
        <f t="shared" si="1"/>
        <v>0.89368094446291979</v>
      </c>
      <c r="S43" s="1">
        <f t="shared" si="2"/>
        <v>0.89368094446291979</v>
      </c>
      <c r="V43" s="36"/>
    </row>
    <row r="44" spans="1:24" x14ac:dyDescent="0.25">
      <c r="A44" s="34" t="s">
        <v>148</v>
      </c>
      <c r="B44" s="34" t="s">
        <v>149</v>
      </c>
      <c r="C44" s="34">
        <v>45411</v>
      </c>
      <c r="D44" s="34">
        <v>340000</v>
      </c>
      <c r="E44" s="34">
        <v>329800</v>
      </c>
      <c r="F44" s="34">
        <v>25650</v>
      </c>
      <c r="G44" s="34">
        <v>282146</v>
      </c>
      <c r="H44" s="27">
        <f t="shared" si="0"/>
        <v>307796</v>
      </c>
      <c r="I44" s="34">
        <v>2</v>
      </c>
      <c r="J44" s="34">
        <v>1363210</v>
      </c>
      <c r="K44" s="34" t="s">
        <v>60</v>
      </c>
      <c r="L44" s="34">
        <v>1.48</v>
      </c>
      <c r="M44" s="34">
        <v>1748</v>
      </c>
      <c r="N44" s="34">
        <v>1977</v>
      </c>
      <c r="O44" s="34">
        <v>19</v>
      </c>
      <c r="P44" s="35">
        <f>(F44+G44)/E44</f>
        <v>0.93328077622801697</v>
      </c>
      <c r="Q44" s="34">
        <v>3</v>
      </c>
      <c r="R44" s="1">
        <f t="shared" si="1"/>
        <v>0.95039090357792599</v>
      </c>
      <c r="S44" s="1">
        <f t="shared" si="2"/>
        <v>0.95039090357792599</v>
      </c>
      <c r="V44" s="36"/>
    </row>
    <row r="45" spans="1:24" x14ac:dyDescent="0.25">
      <c r="A45" s="34" t="s">
        <v>150</v>
      </c>
      <c r="B45" s="34" t="s">
        <v>151</v>
      </c>
      <c r="C45" s="34">
        <v>45408</v>
      </c>
      <c r="D45" s="34">
        <v>500000</v>
      </c>
      <c r="E45" s="34">
        <v>500000</v>
      </c>
      <c r="F45" s="34">
        <v>75694</v>
      </c>
      <c r="G45" s="34">
        <v>364249</v>
      </c>
      <c r="H45" s="27">
        <f t="shared" si="0"/>
        <v>439943</v>
      </c>
      <c r="I45" s="34">
        <v>3</v>
      </c>
      <c r="J45" s="34">
        <v>1211575</v>
      </c>
      <c r="K45" s="34" t="s">
        <v>25</v>
      </c>
      <c r="L45" s="34">
        <v>5.77</v>
      </c>
      <c r="M45" s="34">
        <v>1692</v>
      </c>
      <c r="N45" s="34">
        <v>2010</v>
      </c>
      <c r="O45" s="34">
        <v>6</v>
      </c>
      <c r="P45" s="35">
        <f>(F45+G45)/E45</f>
        <v>0.87988599999999995</v>
      </c>
      <c r="Q45" s="34">
        <v>3.5</v>
      </c>
      <c r="R45" s="1">
        <f t="shared" si="1"/>
        <v>0.89445595999999994</v>
      </c>
      <c r="S45" s="1">
        <f t="shared" si="2"/>
        <v>0.87988599999999995</v>
      </c>
      <c r="V45" s="36"/>
    </row>
    <row r="46" spans="1:24" x14ac:dyDescent="0.25">
      <c r="A46" s="34" t="s">
        <v>152</v>
      </c>
      <c r="B46" s="34" t="s">
        <v>153</v>
      </c>
      <c r="C46" s="34">
        <v>45299</v>
      </c>
      <c r="D46" s="34">
        <v>520000</v>
      </c>
      <c r="E46" s="34">
        <v>520000</v>
      </c>
      <c r="F46" s="34">
        <v>30000</v>
      </c>
      <c r="G46" s="34">
        <v>324086</v>
      </c>
      <c r="H46" s="27">
        <f t="shared" si="0"/>
        <v>354086</v>
      </c>
      <c r="I46" s="34">
        <v>4</v>
      </c>
      <c r="J46" s="34">
        <v>7173513</v>
      </c>
      <c r="K46" s="34" t="s">
        <v>32</v>
      </c>
      <c r="L46" s="34">
        <v>45.08</v>
      </c>
      <c r="M46" s="34">
        <v>1693</v>
      </c>
      <c r="N46" s="34">
        <v>2004</v>
      </c>
      <c r="O46" s="34">
        <v>0</v>
      </c>
      <c r="P46" s="35">
        <f>(F46+G46)/E46</f>
        <v>0.68093461538461542</v>
      </c>
      <c r="Q46" s="34">
        <v>3</v>
      </c>
      <c r="R46" s="1">
        <f t="shared" si="1"/>
        <v>0.69339946153846155</v>
      </c>
      <c r="S46" s="1">
        <f t="shared" si="2"/>
        <v>0.68093461538461542</v>
      </c>
      <c r="V46" s="36"/>
    </row>
    <row r="47" spans="1:24" x14ac:dyDescent="0.25">
      <c r="A47" s="34" t="s">
        <v>154</v>
      </c>
      <c r="B47" s="34" t="s">
        <v>155</v>
      </c>
      <c r="C47" s="34">
        <v>45383</v>
      </c>
      <c r="D47" s="34">
        <v>279000</v>
      </c>
      <c r="E47" s="34">
        <v>279000</v>
      </c>
      <c r="F47" s="34">
        <v>35750</v>
      </c>
      <c r="G47" s="34">
        <v>211275</v>
      </c>
      <c r="H47" s="27">
        <f t="shared" si="0"/>
        <v>247025</v>
      </c>
      <c r="I47" s="34">
        <v>1</v>
      </c>
      <c r="J47" s="34">
        <v>5133573</v>
      </c>
      <c r="K47" s="34" t="s">
        <v>137</v>
      </c>
      <c r="L47" s="34">
        <v>2.57</v>
      </c>
      <c r="M47" s="34">
        <v>1360</v>
      </c>
      <c r="N47" s="34">
        <v>2005</v>
      </c>
      <c r="O47" s="34">
        <v>8</v>
      </c>
      <c r="P47" s="35">
        <f>(F47+G47)/E47</f>
        <v>0.88539426523297493</v>
      </c>
      <c r="Q47" s="34">
        <v>3</v>
      </c>
      <c r="R47" s="1">
        <f t="shared" si="1"/>
        <v>0.90053942652329744</v>
      </c>
      <c r="S47" s="1">
        <f t="shared" si="2"/>
        <v>0.90053942652329744</v>
      </c>
      <c r="V47" s="36"/>
    </row>
    <row r="48" spans="1:24" x14ac:dyDescent="0.25">
      <c r="A48" s="34" t="s">
        <v>156</v>
      </c>
      <c r="B48" s="34" t="s">
        <v>157</v>
      </c>
      <c r="C48" s="34">
        <v>45397</v>
      </c>
      <c r="D48" s="34">
        <v>344000</v>
      </c>
      <c r="E48" s="34">
        <v>333500</v>
      </c>
      <c r="F48" s="34">
        <v>59450</v>
      </c>
      <c r="G48" s="34">
        <v>235834</v>
      </c>
      <c r="H48" s="27">
        <f t="shared" si="0"/>
        <v>295284</v>
      </c>
      <c r="I48" s="34">
        <v>2</v>
      </c>
      <c r="J48" s="34">
        <v>6353510</v>
      </c>
      <c r="K48" s="34" t="s">
        <v>55</v>
      </c>
      <c r="L48" s="34">
        <v>0.39</v>
      </c>
      <c r="M48" s="34">
        <v>1316</v>
      </c>
      <c r="N48" s="34">
        <v>1957</v>
      </c>
      <c r="O48" s="34">
        <v>27</v>
      </c>
      <c r="P48" s="35">
        <f>(F48+G48)/E48</f>
        <v>0.88540929535232382</v>
      </c>
      <c r="Q48" s="34">
        <v>3</v>
      </c>
      <c r="R48" s="1">
        <f t="shared" si="1"/>
        <v>0.89955226386806597</v>
      </c>
      <c r="S48" s="1">
        <f t="shared" si="2"/>
        <v>0.89955226386806597</v>
      </c>
      <c r="V48" s="36"/>
    </row>
    <row r="49" spans="1:22" x14ac:dyDescent="0.25">
      <c r="A49" s="34" t="s">
        <v>158</v>
      </c>
      <c r="B49" s="34" t="s">
        <v>159</v>
      </c>
      <c r="C49" s="34">
        <v>45516</v>
      </c>
      <c r="D49" s="34">
        <v>435000</v>
      </c>
      <c r="E49" s="34">
        <v>421950</v>
      </c>
      <c r="F49" s="34">
        <v>70875</v>
      </c>
      <c r="G49" s="34">
        <v>303004</v>
      </c>
      <c r="H49" s="27">
        <f t="shared" si="0"/>
        <v>373879</v>
      </c>
      <c r="I49" s="34">
        <v>2</v>
      </c>
      <c r="J49" s="34">
        <v>3211518</v>
      </c>
      <c r="K49" s="34" t="s">
        <v>78</v>
      </c>
      <c r="L49" s="34">
        <v>2.5</v>
      </c>
      <c r="M49" s="34">
        <v>1127</v>
      </c>
      <c r="N49" s="34">
        <v>1984</v>
      </c>
      <c r="O49" s="34">
        <v>14</v>
      </c>
      <c r="P49" s="35">
        <f>(F49+G49)/E49</f>
        <v>0.88607417940514277</v>
      </c>
      <c r="Q49" s="34">
        <v>3</v>
      </c>
      <c r="R49" s="1">
        <f t="shared" si="1"/>
        <v>0.90043626022040535</v>
      </c>
      <c r="S49" s="1">
        <f t="shared" si="2"/>
        <v>0.88607417940514277</v>
      </c>
      <c r="V49" s="36"/>
    </row>
    <row r="50" spans="1:22" x14ac:dyDescent="0.25">
      <c r="A50" s="34" t="s">
        <v>160</v>
      </c>
      <c r="B50" s="34" t="s">
        <v>161</v>
      </c>
      <c r="C50" s="34">
        <v>45526</v>
      </c>
      <c r="D50" s="34">
        <v>212000</v>
      </c>
      <c r="E50" s="34">
        <v>207000</v>
      </c>
      <c r="F50" s="34">
        <v>19275</v>
      </c>
      <c r="G50" s="34">
        <v>164356</v>
      </c>
      <c r="H50" s="27">
        <f t="shared" si="0"/>
        <v>183631</v>
      </c>
      <c r="I50" s="34">
        <v>2</v>
      </c>
      <c r="J50" s="34">
        <v>6353510</v>
      </c>
      <c r="K50" s="34" t="s">
        <v>55</v>
      </c>
      <c r="L50" s="34">
        <v>0.13</v>
      </c>
      <c r="M50" s="34">
        <v>1196</v>
      </c>
      <c r="N50" s="34">
        <v>1995</v>
      </c>
      <c r="O50" s="34">
        <v>12</v>
      </c>
      <c r="P50" s="35">
        <f>(F50+G50)/E50</f>
        <v>0.88710628019323667</v>
      </c>
      <c r="Q50" s="34">
        <v>3</v>
      </c>
      <c r="R50" s="1">
        <f t="shared" si="1"/>
        <v>0.90298608695652172</v>
      </c>
      <c r="S50" s="1">
        <f t="shared" si="2"/>
        <v>0.90298608695652172</v>
      </c>
      <c r="V50" s="36"/>
    </row>
    <row r="51" spans="1:22" x14ac:dyDescent="0.25">
      <c r="A51" s="34" t="s">
        <v>162</v>
      </c>
      <c r="B51" s="34" t="s">
        <v>163</v>
      </c>
      <c r="C51" s="34">
        <v>45505</v>
      </c>
      <c r="D51" s="34">
        <v>235000</v>
      </c>
      <c r="E51" s="34">
        <v>235000</v>
      </c>
      <c r="F51" s="34">
        <v>35750</v>
      </c>
      <c r="G51" s="34">
        <v>172859</v>
      </c>
      <c r="H51" s="27">
        <f t="shared" si="0"/>
        <v>208609</v>
      </c>
      <c r="I51" s="34">
        <v>1</v>
      </c>
      <c r="J51" s="34">
        <v>5133573</v>
      </c>
      <c r="K51" s="34" t="s">
        <v>137</v>
      </c>
      <c r="L51" s="34">
        <v>2.72</v>
      </c>
      <c r="M51" s="34">
        <v>845</v>
      </c>
      <c r="N51" s="34">
        <v>2002</v>
      </c>
      <c r="O51" s="34">
        <v>9</v>
      </c>
      <c r="P51" s="35">
        <f>(F51+G51)/E51</f>
        <v>0.88769787234042552</v>
      </c>
      <c r="Q51" s="34">
        <v>3</v>
      </c>
      <c r="R51" s="1">
        <f t="shared" si="1"/>
        <v>0.90240927659574466</v>
      </c>
      <c r="S51" s="1">
        <f t="shared" si="2"/>
        <v>0.90240927659574466</v>
      </c>
      <c r="V51" s="36"/>
    </row>
    <row r="52" spans="1:22" x14ac:dyDescent="0.25">
      <c r="A52" s="34" t="s">
        <v>164</v>
      </c>
      <c r="B52" s="34" t="s">
        <v>165</v>
      </c>
      <c r="C52" s="34">
        <v>45639</v>
      </c>
      <c r="D52" s="34">
        <v>280000</v>
      </c>
      <c r="E52" s="34">
        <v>280000</v>
      </c>
      <c r="F52" s="34">
        <v>54396</v>
      </c>
      <c r="G52" s="34">
        <v>195169</v>
      </c>
      <c r="H52" s="27">
        <f t="shared" si="0"/>
        <v>249565</v>
      </c>
      <c r="I52" s="34">
        <v>2</v>
      </c>
      <c r="J52" s="34">
        <v>6353519</v>
      </c>
      <c r="K52" s="34" t="s">
        <v>55</v>
      </c>
      <c r="L52" s="34">
        <v>0.19</v>
      </c>
      <c r="M52" s="34">
        <v>1128</v>
      </c>
      <c r="N52" s="34">
        <v>1982</v>
      </c>
      <c r="O52" s="34">
        <v>17</v>
      </c>
      <c r="P52" s="35">
        <f>(F52+G52)/E52</f>
        <v>0.89130357142857142</v>
      </c>
      <c r="Q52" s="34">
        <v>3</v>
      </c>
      <c r="R52" s="1">
        <f t="shared" si="1"/>
        <v>0.90524421428571433</v>
      </c>
      <c r="S52" s="1">
        <f t="shared" si="2"/>
        <v>0.90524421428571433</v>
      </c>
      <c r="V52" s="36"/>
    </row>
    <row r="53" spans="1:22" x14ac:dyDescent="0.25">
      <c r="A53" s="34" t="s">
        <v>166</v>
      </c>
      <c r="B53" s="34" t="s">
        <v>167</v>
      </c>
      <c r="C53" s="34">
        <v>45322</v>
      </c>
      <c r="D53" s="34">
        <v>275000</v>
      </c>
      <c r="E53" s="34">
        <v>275000</v>
      </c>
      <c r="F53" s="34">
        <v>35750</v>
      </c>
      <c r="G53" s="34">
        <v>209523</v>
      </c>
      <c r="H53" s="27">
        <f t="shared" si="0"/>
        <v>245273</v>
      </c>
      <c r="I53" s="34">
        <v>1</v>
      </c>
      <c r="J53" s="34">
        <v>5133573</v>
      </c>
      <c r="K53" s="34" t="s">
        <v>137</v>
      </c>
      <c r="L53" s="34">
        <v>4.4400000000000004</v>
      </c>
      <c r="M53" s="34">
        <v>1786</v>
      </c>
      <c r="N53" s="34">
        <v>2004</v>
      </c>
      <c r="O53" s="34">
        <v>8</v>
      </c>
      <c r="P53" s="35">
        <f>(F53+G53)/E53</f>
        <v>0.89190181818181813</v>
      </c>
      <c r="Q53" s="34">
        <v>2.5</v>
      </c>
      <c r="R53" s="1">
        <f t="shared" si="1"/>
        <v>0.90713985454545454</v>
      </c>
      <c r="S53" s="1">
        <f t="shared" si="2"/>
        <v>0.90713985454545454</v>
      </c>
      <c r="V53" s="36"/>
    </row>
    <row r="54" spans="1:22" x14ac:dyDescent="0.25">
      <c r="A54" s="34" t="s">
        <v>168</v>
      </c>
      <c r="B54" s="34" t="s">
        <v>169</v>
      </c>
      <c r="C54" s="34">
        <v>45394</v>
      </c>
      <c r="D54" s="34">
        <v>325000</v>
      </c>
      <c r="E54" s="34">
        <v>319000</v>
      </c>
      <c r="F54" s="34">
        <v>53800</v>
      </c>
      <c r="G54" s="34">
        <v>249175</v>
      </c>
      <c r="H54" s="27">
        <f t="shared" si="0"/>
        <v>302975</v>
      </c>
      <c r="I54" s="34">
        <v>2</v>
      </c>
      <c r="J54" s="34">
        <v>6353510</v>
      </c>
      <c r="K54" s="34" t="s">
        <v>55</v>
      </c>
      <c r="L54" s="34">
        <v>0.23</v>
      </c>
      <c r="M54" s="34">
        <v>1080</v>
      </c>
      <c r="N54" s="34">
        <v>1976</v>
      </c>
      <c r="O54" s="34">
        <v>19</v>
      </c>
      <c r="P54" s="35">
        <f>(F54+G54)/E54</f>
        <v>0.94976489028213162</v>
      </c>
      <c r="Q54" s="34">
        <v>3</v>
      </c>
      <c r="R54" s="1">
        <f t="shared" si="1"/>
        <v>0.96538714733542319</v>
      </c>
      <c r="S54" s="1">
        <f t="shared" si="2"/>
        <v>0.96538714733542319</v>
      </c>
      <c r="V54" s="36"/>
    </row>
    <row r="55" spans="1:22" x14ac:dyDescent="0.25">
      <c r="A55" s="34" t="s">
        <v>170</v>
      </c>
      <c r="B55" s="34" t="s">
        <v>171</v>
      </c>
      <c r="C55" s="34">
        <v>45411</v>
      </c>
      <c r="D55" s="34">
        <v>160000</v>
      </c>
      <c r="E55" s="34">
        <v>160000</v>
      </c>
      <c r="F55" s="34">
        <v>35500</v>
      </c>
      <c r="G55" s="34">
        <v>109501</v>
      </c>
      <c r="H55" s="27">
        <f t="shared" si="0"/>
        <v>145001</v>
      </c>
      <c r="I55" s="34">
        <v>3</v>
      </c>
      <c r="J55" s="34">
        <v>7172614</v>
      </c>
      <c r="K55" s="34" t="s">
        <v>134</v>
      </c>
      <c r="L55" s="34">
        <v>10</v>
      </c>
      <c r="M55" s="34">
        <v>888</v>
      </c>
      <c r="N55" s="34">
        <v>1977</v>
      </c>
      <c r="O55" s="34">
        <v>19</v>
      </c>
      <c r="P55" s="35">
        <f>(F55+G55)/E55</f>
        <v>0.90625624999999999</v>
      </c>
      <c r="Q55" s="34">
        <v>3</v>
      </c>
      <c r="R55" s="1">
        <f t="shared" si="1"/>
        <v>0.91994387500000008</v>
      </c>
      <c r="S55" s="1">
        <f t="shared" si="2"/>
        <v>0.91994387500000008</v>
      </c>
      <c r="V55" s="36"/>
    </row>
    <row r="56" spans="1:22" x14ac:dyDescent="0.25">
      <c r="A56" s="34" t="s">
        <v>172</v>
      </c>
      <c r="B56" s="34" t="s">
        <v>173</v>
      </c>
      <c r="C56" s="34">
        <v>45440</v>
      </c>
      <c r="D56" s="34">
        <v>410000</v>
      </c>
      <c r="E56" s="34">
        <v>410000</v>
      </c>
      <c r="F56" s="34">
        <v>71510</v>
      </c>
      <c r="G56" s="34">
        <v>297481</v>
      </c>
      <c r="H56" s="27">
        <f t="shared" si="0"/>
        <v>368991</v>
      </c>
      <c r="I56" s="34">
        <v>1</v>
      </c>
      <c r="J56" s="34">
        <v>1163119</v>
      </c>
      <c r="K56" s="34" t="s">
        <v>174</v>
      </c>
      <c r="L56" s="34">
        <v>5.1100000000000003</v>
      </c>
      <c r="M56" s="34">
        <v>1360</v>
      </c>
      <c r="N56" s="34">
        <v>2013</v>
      </c>
      <c r="O56" s="34">
        <v>5</v>
      </c>
      <c r="P56" s="35">
        <f>(F56+G56)/E56</f>
        <v>0.89997804878048782</v>
      </c>
      <c r="Q56" s="34">
        <v>3.5</v>
      </c>
      <c r="R56" s="1">
        <f t="shared" si="1"/>
        <v>0.91448931707317072</v>
      </c>
      <c r="S56" s="1">
        <f t="shared" si="2"/>
        <v>0.91448931707317072</v>
      </c>
      <c r="V56" s="36"/>
    </row>
    <row r="57" spans="1:22" x14ac:dyDescent="0.25">
      <c r="A57" s="34" t="s">
        <v>175</v>
      </c>
      <c r="B57" s="34" t="s">
        <v>176</v>
      </c>
      <c r="C57" s="34">
        <v>45310</v>
      </c>
      <c r="D57" s="34">
        <v>285000</v>
      </c>
      <c r="E57" s="34">
        <v>285000</v>
      </c>
      <c r="F57" s="34">
        <v>35750</v>
      </c>
      <c r="G57" s="34">
        <v>220851</v>
      </c>
      <c r="H57" s="27">
        <f t="shared" si="0"/>
        <v>256601</v>
      </c>
      <c r="I57" s="34">
        <v>1</v>
      </c>
      <c r="J57" s="34">
        <v>5133573</v>
      </c>
      <c r="K57" s="34" t="s">
        <v>137</v>
      </c>
      <c r="L57" s="34">
        <v>4.78</v>
      </c>
      <c r="M57" s="34">
        <v>1984</v>
      </c>
      <c r="N57" s="34">
        <v>2006</v>
      </c>
      <c r="O57" s="34">
        <v>8</v>
      </c>
      <c r="P57" s="35">
        <f>(F57+G57)/E57</f>
        <v>0.90035438596491224</v>
      </c>
      <c r="Q57" s="34">
        <v>3</v>
      </c>
      <c r="R57" s="1">
        <f t="shared" si="1"/>
        <v>0.91585270175438593</v>
      </c>
      <c r="S57" s="1">
        <f t="shared" si="2"/>
        <v>0.91585270175438593</v>
      </c>
      <c r="V57" s="36"/>
    </row>
    <row r="58" spans="1:22" x14ac:dyDescent="0.25">
      <c r="A58" s="34" t="s">
        <v>177</v>
      </c>
      <c r="B58" s="34" t="s">
        <v>178</v>
      </c>
      <c r="C58" s="34">
        <v>45437</v>
      </c>
      <c r="D58" s="34">
        <v>135000</v>
      </c>
      <c r="E58" s="34">
        <v>135000</v>
      </c>
      <c r="F58" s="34">
        <v>39841</v>
      </c>
      <c r="G58" s="34">
        <v>84200</v>
      </c>
      <c r="H58" s="27">
        <f t="shared" si="0"/>
        <v>124041</v>
      </c>
      <c r="I58" s="34">
        <v>1</v>
      </c>
      <c r="J58" s="34">
        <v>2173157</v>
      </c>
      <c r="K58" s="34" t="s">
        <v>43</v>
      </c>
      <c r="L58" s="34">
        <v>0.18</v>
      </c>
      <c r="M58" s="34">
        <v>748</v>
      </c>
      <c r="N58" s="34">
        <v>1913</v>
      </c>
      <c r="O58" s="34">
        <v>28</v>
      </c>
      <c r="P58" s="35">
        <f>(F58+G58)/E58</f>
        <v>0.91882222222222221</v>
      </c>
      <c r="Q58" s="34">
        <v>3</v>
      </c>
      <c r="R58" s="1">
        <f t="shared" si="1"/>
        <v>0.93129629629629629</v>
      </c>
      <c r="S58" s="1">
        <f t="shared" si="2"/>
        <v>0.93129629629629629</v>
      </c>
      <c r="V58" s="36"/>
    </row>
    <row r="59" spans="1:22" x14ac:dyDescent="0.25">
      <c r="A59" s="34" t="s">
        <v>179</v>
      </c>
      <c r="B59" s="34" t="s">
        <v>180</v>
      </c>
      <c r="C59" s="34">
        <v>45623</v>
      </c>
      <c r="D59" s="34">
        <v>275000</v>
      </c>
      <c r="E59" s="34">
        <v>266600</v>
      </c>
      <c r="F59" s="34">
        <v>53830</v>
      </c>
      <c r="G59" s="34">
        <v>196993</v>
      </c>
      <c r="H59" s="27">
        <f t="shared" si="0"/>
        <v>250823</v>
      </c>
      <c r="I59" s="34">
        <v>2</v>
      </c>
      <c r="J59" s="34">
        <v>6353519</v>
      </c>
      <c r="K59" s="34" t="s">
        <v>55</v>
      </c>
      <c r="L59" s="34">
        <v>0.14000000000000001</v>
      </c>
      <c r="M59" s="34">
        <v>1145</v>
      </c>
      <c r="N59" s="34">
        <v>2008</v>
      </c>
      <c r="O59" s="34">
        <v>7</v>
      </c>
      <c r="P59" s="35">
        <f>(F59+G59)/E59</f>
        <v>0.94082145536384099</v>
      </c>
      <c r="Q59" s="34">
        <v>3</v>
      </c>
      <c r="R59" s="1">
        <f t="shared" si="1"/>
        <v>0.95559962490622663</v>
      </c>
      <c r="S59" s="1">
        <f t="shared" si="2"/>
        <v>0.95559962490622663</v>
      </c>
      <c r="V59" s="36"/>
    </row>
    <row r="60" spans="1:22" x14ac:dyDescent="0.25">
      <c r="A60" s="34" t="s">
        <v>184</v>
      </c>
      <c r="B60" s="34" t="s">
        <v>185</v>
      </c>
      <c r="C60" s="34">
        <v>45461</v>
      </c>
      <c r="D60" s="34">
        <v>575000</v>
      </c>
      <c r="E60" s="34">
        <v>575000</v>
      </c>
      <c r="F60" s="34">
        <v>39000</v>
      </c>
      <c r="G60" s="34">
        <v>467300</v>
      </c>
      <c r="H60" s="27">
        <f t="shared" si="0"/>
        <v>506300</v>
      </c>
      <c r="I60" s="34">
        <v>4</v>
      </c>
      <c r="J60" s="34">
        <v>5172568</v>
      </c>
      <c r="K60" s="34" t="s">
        <v>110</v>
      </c>
      <c r="L60" s="34">
        <v>4</v>
      </c>
      <c r="M60" s="34">
        <v>2116</v>
      </c>
      <c r="N60" s="34">
        <v>2006</v>
      </c>
      <c r="O60" s="34">
        <v>8</v>
      </c>
      <c r="P60" s="35">
        <f>(F60+G60)/E60</f>
        <v>0.88052173913043474</v>
      </c>
      <c r="Q60" s="34">
        <v>3.5</v>
      </c>
      <c r="R60" s="1">
        <f t="shared" si="1"/>
        <v>0.89677565217391308</v>
      </c>
      <c r="S60" s="1">
        <f t="shared" si="2"/>
        <v>0.88052173913043474</v>
      </c>
      <c r="V60" s="36"/>
    </row>
    <row r="61" spans="1:22" x14ac:dyDescent="0.25">
      <c r="A61" s="34" t="s">
        <v>186</v>
      </c>
      <c r="B61" s="34" t="s">
        <v>187</v>
      </c>
      <c r="C61" s="34">
        <v>45465</v>
      </c>
      <c r="D61" s="34">
        <v>500000</v>
      </c>
      <c r="E61" s="34">
        <v>500000</v>
      </c>
      <c r="F61" s="34">
        <v>38237</v>
      </c>
      <c r="G61" s="34">
        <v>417371</v>
      </c>
      <c r="H61" s="27">
        <f t="shared" si="0"/>
        <v>455608</v>
      </c>
      <c r="I61" s="34">
        <v>1</v>
      </c>
      <c r="J61" s="34">
        <v>5153513</v>
      </c>
      <c r="K61" s="34" t="s">
        <v>174</v>
      </c>
      <c r="L61" s="34">
        <v>11.96</v>
      </c>
      <c r="M61" s="34">
        <v>2700</v>
      </c>
      <c r="N61" s="34">
        <v>1983</v>
      </c>
      <c r="O61" s="34">
        <v>17</v>
      </c>
      <c r="P61" s="35">
        <f>(F61+G61)/E61</f>
        <v>0.91121600000000003</v>
      </c>
      <c r="Q61" s="34">
        <v>3.5</v>
      </c>
      <c r="R61" s="1">
        <f t="shared" si="1"/>
        <v>0.92791084000000001</v>
      </c>
      <c r="S61" s="1">
        <f t="shared" si="2"/>
        <v>0.91121600000000003</v>
      </c>
      <c r="V61" s="36"/>
    </row>
    <row r="62" spans="1:22" x14ac:dyDescent="0.25">
      <c r="A62" s="34" t="s">
        <v>188</v>
      </c>
      <c r="B62" s="34" t="s">
        <v>189</v>
      </c>
      <c r="C62" s="34">
        <v>45506</v>
      </c>
      <c r="D62" s="34">
        <v>308500</v>
      </c>
      <c r="E62" s="34">
        <v>299245</v>
      </c>
      <c r="F62" s="34">
        <v>52200</v>
      </c>
      <c r="G62" s="34">
        <v>237356</v>
      </c>
      <c r="H62" s="27">
        <f t="shared" si="0"/>
        <v>289556</v>
      </c>
      <c r="I62" s="34">
        <v>2</v>
      </c>
      <c r="J62" s="34">
        <v>6353510</v>
      </c>
      <c r="K62" s="34" t="s">
        <v>55</v>
      </c>
      <c r="L62" s="34">
        <v>0.22</v>
      </c>
      <c r="M62" s="34">
        <v>1256</v>
      </c>
      <c r="N62" s="34">
        <v>1947</v>
      </c>
      <c r="O62" s="34">
        <v>21</v>
      </c>
      <c r="P62" s="35">
        <f>(F62+G62)/E62</f>
        <v>0.96762184831826759</v>
      </c>
      <c r="Q62" s="34">
        <v>3</v>
      </c>
      <c r="R62" s="1">
        <f t="shared" si="1"/>
        <v>0.98348550518805655</v>
      </c>
      <c r="S62" s="1">
        <f t="shared" si="2"/>
        <v>0.98348550518805655</v>
      </c>
      <c r="V62" s="36"/>
    </row>
    <row r="63" spans="1:22" x14ac:dyDescent="0.25">
      <c r="A63" s="34" t="s">
        <v>190</v>
      </c>
      <c r="B63" s="34" t="s">
        <v>191</v>
      </c>
      <c r="C63" s="34">
        <v>45373</v>
      </c>
      <c r="D63" s="34">
        <v>355000</v>
      </c>
      <c r="E63" s="34">
        <v>344350</v>
      </c>
      <c r="F63" s="34">
        <v>53059</v>
      </c>
      <c r="G63" s="34">
        <v>178147</v>
      </c>
      <c r="H63" s="27">
        <f t="shared" si="0"/>
        <v>231206</v>
      </c>
      <c r="I63" s="34">
        <v>1</v>
      </c>
      <c r="J63" s="34">
        <v>2173157</v>
      </c>
      <c r="K63" s="34" t="s">
        <v>43</v>
      </c>
      <c r="L63" s="34">
        <v>0.54</v>
      </c>
      <c r="M63" s="34">
        <v>1148</v>
      </c>
      <c r="N63" s="34">
        <v>1955</v>
      </c>
      <c r="O63" s="34">
        <v>20</v>
      </c>
      <c r="P63" s="35">
        <f>(F63+G63)/E63</f>
        <v>0.67142732684768403</v>
      </c>
      <c r="Q63" s="34">
        <v>3.5</v>
      </c>
      <c r="R63" s="1">
        <f t="shared" si="1"/>
        <v>0.68177418324379269</v>
      </c>
      <c r="S63" s="1">
        <f t="shared" si="2"/>
        <v>0.68177418324379269</v>
      </c>
      <c r="V63" s="36"/>
    </row>
    <row r="64" spans="1:22" x14ac:dyDescent="0.25">
      <c r="A64" s="34" t="s">
        <v>192</v>
      </c>
      <c r="B64" s="34" t="s">
        <v>193</v>
      </c>
      <c r="C64" s="34">
        <v>45461</v>
      </c>
      <c r="D64" s="34">
        <v>250000</v>
      </c>
      <c r="E64" s="34">
        <v>250000</v>
      </c>
      <c r="F64" s="34">
        <v>42600</v>
      </c>
      <c r="G64" s="34">
        <v>193332</v>
      </c>
      <c r="H64" s="27">
        <f t="shared" si="0"/>
        <v>235932</v>
      </c>
      <c r="I64" s="34">
        <v>2</v>
      </c>
      <c r="J64" s="34">
        <v>6353510</v>
      </c>
      <c r="K64" s="34" t="s">
        <v>55</v>
      </c>
      <c r="L64" s="34">
        <v>0.16</v>
      </c>
      <c r="M64" s="34">
        <v>1233</v>
      </c>
      <c r="N64" s="34">
        <v>1960</v>
      </c>
      <c r="O64" s="34">
        <v>18</v>
      </c>
      <c r="P64" s="35">
        <f>(F64+G64)/E64</f>
        <v>0.94372800000000001</v>
      </c>
      <c r="Q64" s="34">
        <v>2.5</v>
      </c>
      <c r="R64" s="1">
        <f t="shared" si="1"/>
        <v>0.95919456000000003</v>
      </c>
      <c r="S64" s="1">
        <f t="shared" si="2"/>
        <v>0.95919456000000003</v>
      </c>
      <c r="V64" s="36"/>
    </row>
    <row r="65" spans="1:22" x14ac:dyDescent="0.25">
      <c r="A65" s="34" t="s">
        <v>194</v>
      </c>
      <c r="B65" s="34" t="s">
        <v>195</v>
      </c>
      <c r="C65" s="34">
        <v>45414</v>
      </c>
      <c r="D65" s="34">
        <v>280000</v>
      </c>
      <c r="E65" s="34">
        <v>271450</v>
      </c>
      <c r="F65" s="34">
        <v>53800</v>
      </c>
      <c r="G65" s="34">
        <v>212596</v>
      </c>
      <c r="H65" s="27">
        <f t="shared" ref="H65:H126" si="4">F65+G65</f>
        <v>266396</v>
      </c>
      <c r="I65" s="34">
        <v>2</v>
      </c>
      <c r="J65" s="34">
        <v>6353510</v>
      </c>
      <c r="K65" s="34" t="s">
        <v>55</v>
      </c>
      <c r="L65" s="34">
        <v>0.23</v>
      </c>
      <c r="M65" s="34">
        <v>1080</v>
      </c>
      <c r="N65" s="34">
        <v>1984</v>
      </c>
      <c r="O65" s="34">
        <v>16</v>
      </c>
      <c r="P65" s="35">
        <f>(F65+G65)/E65</f>
        <v>0.98138146988395658</v>
      </c>
      <c r="Q65" s="34">
        <v>3</v>
      </c>
      <c r="R65" s="1">
        <f t="shared" ref="R65:R126" si="5">((G65*1.02)+F65)/E65</f>
        <v>0.9970452016946032</v>
      </c>
      <c r="S65" s="1">
        <f t="shared" si="2"/>
        <v>0.9970452016946032</v>
      </c>
      <c r="V65" s="36"/>
    </row>
    <row r="66" spans="1:22" x14ac:dyDescent="0.25">
      <c r="A66" s="34" t="s">
        <v>196</v>
      </c>
      <c r="B66" s="34" t="s">
        <v>197</v>
      </c>
      <c r="C66" s="34">
        <v>45351</v>
      </c>
      <c r="D66" s="34">
        <v>381500</v>
      </c>
      <c r="E66" s="34">
        <v>381500</v>
      </c>
      <c r="F66" s="34">
        <v>36850</v>
      </c>
      <c r="G66" s="34">
        <v>313202</v>
      </c>
      <c r="H66" s="27">
        <f t="shared" si="4"/>
        <v>350052</v>
      </c>
      <c r="I66" s="34">
        <v>2</v>
      </c>
      <c r="J66" s="34">
        <v>3211548</v>
      </c>
      <c r="K66" s="34" t="s">
        <v>78</v>
      </c>
      <c r="L66" s="34">
        <v>2.57</v>
      </c>
      <c r="M66" s="34">
        <v>2340</v>
      </c>
      <c r="N66" s="34">
        <v>2006</v>
      </c>
      <c r="O66" s="34">
        <v>0</v>
      </c>
      <c r="P66" s="35">
        <f>(F66+G66)/E66</f>
        <v>0.91756749672346005</v>
      </c>
      <c r="Q66" s="34">
        <v>3</v>
      </c>
      <c r="R66" s="1">
        <f t="shared" si="5"/>
        <v>0.93398699868938395</v>
      </c>
      <c r="S66" s="1">
        <f t="shared" si="2"/>
        <v>0.91756749672346005</v>
      </c>
      <c r="V66" s="36"/>
    </row>
    <row r="67" spans="1:22" x14ac:dyDescent="0.25">
      <c r="A67" s="34" t="s">
        <v>198</v>
      </c>
      <c r="B67" s="34" t="s">
        <v>199</v>
      </c>
      <c r="C67" s="34">
        <v>45342</v>
      </c>
      <c r="D67" s="34">
        <v>829000</v>
      </c>
      <c r="E67" s="34">
        <v>829000</v>
      </c>
      <c r="F67" s="34">
        <v>45000</v>
      </c>
      <c r="G67" s="34">
        <v>701936</v>
      </c>
      <c r="H67" s="27">
        <f t="shared" si="4"/>
        <v>746936</v>
      </c>
      <c r="I67" s="34">
        <v>2</v>
      </c>
      <c r="J67" s="34">
        <v>3211518</v>
      </c>
      <c r="K67" s="34" t="s">
        <v>78</v>
      </c>
      <c r="L67" s="34">
        <v>1.1200000000000001</v>
      </c>
      <c r="M67" s="34">
        <v>4200</v>
      </c>
      <c r="N67" s="34">
        <v>2018</v>
      </c>
      <c r="O67" s="34">
        <v>0</v>
      </c>
      <c r="P67" s="35">
        <f>(F67+G67)/E67</f>
        <v>0.90100844390832324</v>
      </c>
      <c r="Q67" s="34">
        <v>3</v>
      </c>
      <c r="R67" s="1">
        <f t="shared" si="5"/>
        <v>0.9179429674306393</v>
      </c>
      <c r="S67" s="1">
        <f t="shared" ref="S67:S130" si="6">((IF(AND(G67&lt;=$V$10,G67&gt;=$U$10),G67*1.02,IF(AND(G67&lt;=$V$11,G67&gt;=$U$11),G67,IF(AND(G67&lt;=$V$12,G67&gt;=$U$12),G67*1.01)))+F67)/E67)</f>
        <v>0.90947570566948133</v>
      </c>
      <c r="V67" s="36"/>
    </row>
    <row r="68" spans="1:22" x14ac:dyDescent="0.25">
      <c r="A68" s="34" t="s">
        <v>200</v>
      </c>
      <c r="B68" s="34" t="s">
        <v>201</v>
      </c>
      <c r="C68" s="34">
        <v>45474</v>
      </c>
      <c r="D68" s="34">
        <v>270000</v>
      </c>
      <c r="E68" s="34">
        <v>269500</v>
      </c>
      <c r="F68" s="34">
        <v>35750</v>
      </c>
      <c r="G68" s="34">
        <v>212174</v>
      </c>
      <c r="H68" s="27">
        <f t="shared" si="4"/>
        <v>247924</v>
      </c>
      <c r="I68" s="34">
        <v>1</v>
      </c>
      <c r="J68" s="34">
        <v>5133573</v>
      </c>
      <c r="K68" s="34" t="s">
        <v>137</v>
      </c>
      <c r="L68" s="34">
        <v>2.5099999999999998</v>
      </c>
      <c r="M68" s="34">
        <v>1552</v>
      </c>
      <c r="N68" s="34">
        <v>2005</v>
      </c>
      <c r="O68" s="34">
        <v>8</v>
      </c>
      <c r="P68" s="35">
        <f>(F68+G68)/E68</f>
        <v>0.91994063079777366</v>
      </c>
      <c r="Q68" s="34">
        <v>3</v>
      </c>
      <c r="R68" s="1">
        <f t="shared" si="5"/>
        <v>0.93568638218923939</v>
      </c>
      <c r="S68" s="1">
        <f t="shared" si="6"/>
        <v>0.93568638218923939</v>
      </c>
      <c r="V68" s="36"/>
    </row>
    <row r="69" spans="1:22" x14ac:dyDescent="0.25">
      <c r="A69" s="34" t="s">
        <v>202</v>
      </c>
      <c r="B69" s="34" t="s">
        <v>203</v>
      </c>
      <c r="C69" s="34">
        <v>45545</v>
      </c>
      <c r="D69" s="34">
        <v>349000</v>
      </c>
      <c r="E69" s="34">
        <v>344000</v>
      </c>
      <c r="F69" s="34">
        <v>45530</v>
      </c>
      <c r="G69" s="34">
        <v>271297</v>
      </c>
      <c r="H69" s="27">
        <f t="shared" si="4"/>
        <v>316827</v>
      </c>
      <c r="I69" s="34">
        <v>1</v>
      </c>
      <c r="J69" s="34">
        <v>2173157</v>
      </c>
      <c r="K69" s="34" t="s">
        <v>43</v>
      </c>
      <c r="L69" s="34">
        <v>0.27</v>
      </c>
      <c r="M69" s="34">
        <v>1509</v>
      </c>
      <c r="N69" s="34">
        <v>2006</v>
      </c>
      <c r="O69" s="34">
        <v>8</v>
      </c>
      <c r="P69" s="35">
        <f>(F69+G69)/E69</f>
        <v>0.92100872093023256</v>
      </c>
      <c r="Q69" s="34">
        <v>3</v>
      </c>
      <c r="R69" s="1">
        <f t="shared" si="5"/>
        <v>0.93678180232558139</v>
      </c>
      <c r="S69" s="1">
        <f t="shared" si="6"/>
        <v>0.93678180232558139</v>
      </c>
      <c r="V69" s="36"/>
    </row>
    <row r="70" spans="1:22" x14ac:dyDescent="0.25">
      <c r="A70" s="34" t="s">
        <v>204</v>
      </c>
      <c r="B70" s="34" t="s">
        <v>205</v>
      </c>
      <c r="C70" s="34">
        <v>45503</v>
      </c>
      <c r="D70" s="34">
        <v>325000</v>
      </c>
      <c r="E70" s="34">
        <v>306300</v>
      </c>
      <c r="F70" s="34">
        <v>68725</v>
      </c>
      <c r="G70" s="34">
        <v>242823</v>
      </c>
      <c r="H70" s="27">
        <f t="shared" si="4"/>
        <v>311548</v>
      </c>
      <c r="I70" s="34">
        <v>2</v>
      </c>
      <c r="J70" s="34">
        <v>6353510</v>
      </c>
      <c r="K70" s="34" t="s">
        <v>55</v>
      </c>
      <c r="L70" s="34">
        <v>0.92</v>
      </c>
      <c r="M70" s="34">
        <v>1600</v>
      </c>
      <c r="N70" s="34">
        <v>2007</v>
      </c>
      <c r="O70" s="34">
        <v>6</v>
      </c>
      <c r="P70" s="35">
        <f>(F70+G70)/E70</f>
        <v>1.0171335292197192</v>
      </c>
      <c r="Q70" s="34">
        <v>3</v>
      </c>
      <c r="R70" s="1">
        <f t="shared" si="5"/>
        <v>1.0329887691805417</v>
      </c>
      <c r="S70" s="1">
        <f t="shared" si="6"/>
        <v>1.0329887691805417</v>
      </c>
      <c r="V70" s="36"/>
    </row>
    <row r="71" spans="1:22" x14ac:dyDescent="0.25">
      <c r="A71" s="34" t="s">
        <v>206</v>
      </c>
      <c r="B71" s="34" t="s">
        <v>207</v>
      </c>
      <c r="C71" s="34">
        <v>45378</v>
      </c>
      <c r="D71" s="34">
        <v>375000</v>
      </c>
      <c r="E71" s="34">
        <v>363878</v>
      </c>
      <c r="F71" s="34">
        <v>40830</v>
      </c>
      <c r="G71" s="34">
        <v>294982</v>
      </c>
      <c r="H71" s="27">
        <f t="shared" si="4"/>
        <v>335812</v>
      </c>
      <c r="I71" s="34">
        <v>4</v>
      </c>
      <c r="J71" s="34">
        <v>1143762</v>
      </c>
      <c r="K71" s="34" t="s">
        <v>143</v>
      </c>
      <c r="L71" s="34">
        <v>0.51</v>
      </c>
      <c r="M71" s="34">
        <v>1420</v>
      </c>
      <c r="N71" s="34">
        <v>1972</v>
      </c>
      <c r="O71" s="34">
        <v>20</v>
      </c>
      <c r="P71" s="35">
        <f>(F71+G71)/E71</f>
        <v>0.92286975304909891</v>
      </c>
      <c r="Q71" s="34">
        <v>3.5</v>
      </c>
      <c r="R71" s="1">
        <f t="shared" si="5"/>
        <v>0.93908298935357459</v>
      </c>
      <c r="S71" s="1">
        <f t="shared" si="6"/>
        <v>0.93908298935357459</v>
      </c>
      <c r="V71" s="36"/>
    </row>
    <row r="72" spans="1:22" x14ac:dyDescent="0.25">
      <c r="A72" s="34" t="s">
        <v>208</v>
      </c>
      <c r="B72" s="34" t="s">
        <v>209</v>
      </c>
      <c r="C72" s="34">
        <v>45616</v>
      </c>
      <c r="D72" s="34">
        <v>369000</v>
      </c>
      <c r="E72" s="34">
        <v>369000</v>
      </c>
      <c r="F72" s="34">
        <v>58400</v>
      </c>
      <c r="G72" s="34">
        <v>283010</v>
      </c>
      <c r="H72" s="27">
        <f t="shared" si="4"/>
        <v>341410</v>
      </c>
      <c r="I72" s="34">
        <v>2</v>
      </c>
      <c r="J72" s="34">
        <v>6353510</v>
      </c>
      <c r="K72" s="34" t="s">
        <v>55</v>
      </c>
      <c r="L72" s="34">
        <v>0.33</v>
      </c>
      <c r="M72" s="34">
        <v>1833</v>
      </c>
      <c r="N72" s="34">
        <v>1974</v>
      </c>
      <c r="O72" s="34">
        <v>20</v>
      </c>
      <c r="P72" s="35">
        <f>(F72+G72)/E72</f>
        <v>0.92523035230352302</v>
      </c>
      <c r="Q72" s="34">
        <v>3</v>
      </c>
      <c r="R72" s="1">
        <f t="shared" si="5"/>
        <v>0.940569647696477</v>
      </c>
      <c r="S72" s="1">
        <f t="shared" si="6"/>
        <v>0.940569647696477</v>
      </c>
      <c r="V72" s="36"/>
    </row>
    <row r="73" spans="1:22" x14ac:dyDescent="0.25">
      <c r="A73" s="34" t="s">
        <v>210</v>
      </c>
      <c r="B73" s="34" t="s">
        <v>211</v>
      </c>
      <c r="C73" s="34">
        <v>45512</v>
      </c>
      <c r="D73" s="34">
        <v>450000</v>
      </c>
      <c r="E73" s="34">
        <v>448600</v>
      </c>
      <c r="F73" s="34">
        <v>43473</v>
      </c>
      <c r="G73" s="34">
        <v>371798</v>
      </c>
      <c r="H73" s="27">
        <f t="shared" si="4"/>
        <v>415271</v>
      </c>
      <c r="I73" s="34">
        <v>1</v>
      </c>
      <c r="J73" s="34">
        <v>2173157</v>
      </c>
      <c r="K73" s="34" t="s">
        <v>43</v>
      </c>
      <c r="L73" s="34">
        <v>0.23</v>
      </c>
      <c r="M73" s="34">
        <v>1776</v>
      </c>
      <c r="N73" s="34">
        <v>2021</v>
      </c>
      <c r="O73" s="34">
        <v>2</v>
      </c>
      <c r="P73" s="35">
        <f>(F73+G73)/E73</f>
        <v>0.9257044137316095</v>
      </c>
      <c r="Q73" s="34">
        <v>4</v>
      </c>
      <c r="R73" s="1">
        <f t="shared" si="5"/>
        <v>0.94228033883192153</v>
      </c>
      <c r="S73" s="1">
        <f t="shared" si="6"/>
        <v>0.9257044137316095</v>
      </c>
      <c r="V73" s="36"/>
    </row>
    <row r="74" spans="1:22" x14ac:dyDescent="0.25">
      <c r="A74" s="34" t="s">
        <v>212</v>
      </c>
      <c r="B74" s="34" t="s">
        <v>213</v>
      </c>
      <c r="C74" s="34">
        <v>45555</v>
      </c>
      <c r="D74" s="34">
        <v>340000</v>
      </c>
      <c r="E74" s="34">
        <v>330915</v>
      </c>
      <c r="F74" s="34">
        <v>57634</v>
      </c>
      <c r="G74" s="34">
        <v>248817</v>
      </c>
      <c r="H74" s="27">
        <f t="shared" si="4"/>
        <v>306451</v>
      </c>
      <c r="I74" s="34">
        <v>2</v>
      </c>
      <c r="J74" s="34">
        <v>6353519</v>
      </c>
      <c r="K74" s="34" t="s">
        <v>55</v>
      </c>
      <c r="L74" s="34">
        <v>1.06</v>
      </c>
      <c r="M74" s="34">
        <v>1582</v>
      </c>
      <c r="N74" s="34">
        <v>2023</v>
      </c>
      <c r="O74" s="34">
        <v>1</v>
      </c>
      <c r="P74" s="35">
        <f>(F74+G74)/E74</f>
        <v>0.92607164981944001</v>
      </c>
      <c r="Q74" s="34">
        <v>3.5</v>
      </c>
      <c r="R74" s="1">
        <f t="shared" si="5"/>
        <v>0.9411097713914448</v>
      </c>
      <c r="S74" s="1">
        <f t="shared" si="6"/>
        <v>0.9411097713914448</v>
      </c>
      <c r="V74" s="36"/>
    </row>
    <row r="75" spans="1:22" x14ac:dyDescent="0.25">
      <c r="A75" s="34" t="s">
        <v>214</v>
      </c>
      <c r="B75" s="34" t="s">
        <v>215</v>
      </c>
      <c r="C75" s="34">
        <v>45602</v>
      </c>
      <c r="D75" s="34">
        <v>230000</v>
      </c>
      <c r="E75" s="34">
        <v>230000</v>
      </c>
      <c r="F75" s="34">
        <v>61966</v>
      </c>
      <c r="G75" s="34">
        <v>143268</v>
      </c>
      <c r="H75" s="27">
        <f t="shared" si="4"/>
        <v>205234</v>
      </c>
      <c r="I75" s="34">
        <v>3</v>
      </c>
      <c r="J75" s="34">
        <v>8222715</v>
      </c>
      <c r="K75" s="34" t="s">
        <v>140</v>
      </c>
      <c r="L75" s="34">
        <v>10</v>
      </c>
      <c r="M75" s="34">
        <v>1217</v>
      </c>
      <c r="N75" s="34">
        <v>1980</v>
      </c>
      <c r="O75" s="34">
        <v>18</v>
      </c>
      <c r="P75" s="35">
        <f>(F75+G75)/E75</f>
        <v>0.89232173913043478</v>
      </c>
      <c r="Q75" s="34">
        <v>3</v>
      </c>
      <c r="R75" s="1">
        <f t="shared" si="5"/>
        <v>0.90477982608695662</v>
      </c>
      <c r="S75" s="1">
        <f t="shared" si="6"/>
        <v>0.90477982608695662</v>
      </c>
      <c r="V75" s="36"/>
    </row>
    <row r="76" spans="1:22" x14ac:dyDescent="0.25">
      <c r="A76" s="34" t="s">
        <v>216</v>
      </c>
      <c r="B76" s="34" t="s">
        <v>217</v>
      </c>
      <c r="C76" s="34">
        <v>45517</v>
      </c>
      <c r="D76" s="34">
        <v>295000</v>
      </c>
      <c r="E76" s="34">
        <v>295000</v>
      </c>
      <c r="F76" s="34">
        <v>70680</v>
      </c>
      <c r="G76" s="34">
        <v>202593</v>
      </c>
      <c r="H76" s="27">
        <f t="shared" si="4"/>
        <v>273273</v>
      </c>
      <c r="I76" s="34">
        <v>4</v>
      </c>
      <c r="J76" s="34">
        <v>1143799</v>
      </c>
      <c r="K76" s="34" t="s">
        <v>218</v>
      </c>
      <c r="L76" s="34">
        <v>2.52</v>
      </c>
      <c r="M76" s="34">
        <v>1356</v>
      </c>
      <c r="N76" s="34">
        <v>1959</v>
      </c>
      <c r="O76" s="34">
        <v>18</v>
      </c>
      <c r="P76" s="35">
        <f>(F76+G76)/E76</f>
        <v>0.92634915254237293</v>
      </c>
      <c r="Q76" s="34">
        <v>3</v>
      </c>
      <c r="R76" s="1">
        <f t="shared" si="5"/>
        <v>0.94008427118644067</v>
      </c>
      <c r="S76" s="1">
        <f t="shared" si="6"/>
        <v>0.94008427118644067</v>
      </c>
      <c r="V76" s="36"/>
    </row>
    <row r="77" spans="1:22" x14ac:dyDescent="0.25">
      <c r="A77" s="34" t="s">
        <v>219</v>
      </c>
      <c r="B77" s="34" t="s">
        <v>220</v>
      </c>
      <c r="C77" s="34">
        <v>45552</v>
      </c>
      <c r="D77" s="34">
        <v>280000</v>
      </c>
      <c r="E77" s="34">
        <v>271600</v>
      </c>
      <c r="F77" s="34">
        <v>44200</v>
      </c>
      <c r="G77" s="34">
        <v>216697</v>
      </c>
      <c r="H77" s="27">
        <f t="shared" si="4"/>
        <v>260897</v>
      </c>
      <c r="I77" s="34">
        <v>2</v>
      </c>
      <c r="J77" s="34">
        <v>6353510</v>
      </c>
      <c r="K77" s="34" t="s">
        <v>55</v>
      </c>
      <c r="L77" s="34">
        <v>0.17</v>
      </c>
      <c r="M77" s="34">
        <v>1046</v>
      </c>
      <c r="N77" s="34">
        <v>1974</v>
      </c>
      <c r="O77" s="34">
        <v>20</v>
      </c>
      <c r="P77" s="35">
        <f>(F77+G77)/E77</f>
        <v>0.96059278350515465</v>
      </c>
      <c r="Q77" s="34">
        <v>3</v>
      </c>
      <c r="R77" s="1">
        <f t="shared" si="5"/>
        <v>0.97654985272459505</v>
      </c>
      <c r="S77" s="1">
        <f t="shared" si="6"/>
        <v>0.97654985272459505</v>
      </c>
      <c r="V77" s="36"/>
    </row>
    <row r="78" spans="1:22" x14ac:dyDescent="0.25">
      <c r="A78" s="34" t="s">
        <v>221</v>
      </c>
      <c r="B78" s="34" t="s">
        <v>222</v>
      </c>
      <c r="C78" s="34">
        <v>45586</v>
      </c>
      <c r="D78" s="34">
        <v>255000</v>
      </c>
      <c r="E78" s="34">
        <v>248350</v>
      </c>
      <c r="F78" s="34">
        <v>39400</v>
      </c>
      <c r="G78" s="34">
        <v>195743</v>
      </c>
      <c r="H78" s="27">
        <f t="shared" si="4"/>
        <v>235143</v>
      </c>
      <c r="I78" s="34">
        <v>2</v>
      </c>
      <c r="J78" s="34">
        <v>6353510</v>
      </c>
      <c r="K78" s="34" t="s">
        <v>55</v>
      </c>
      <c r="L78" s="34">
        <v>0.14000000000000001</v>
      </c>
      <c r="M78" s="34">
        <v>1056</v>
      </c>
      <c r="N78" s="34">
        <v>1974</v>
      </c>
      <c r="O78" s="34">
        <v>20</v>
      </c>
      <c r="P78" s="35">
        <f>(F78+G78)/E78</f>
        <v>0.9468210187235756</v>
      </c>
      <c r="Q78" s="34">
        <v>3</v>
      </c>
      <c r="R78" s="1">
        <f t="shared" si="5"/>
        <v>0.96258449768471921</v>
      </c>
      <c r="S78" s="1">
        <f t="shared" si="6"/>
        <v>0.96258449768471921</v>
      </c>
      <c r="V78" s="36"/>
    </row>
    <row r="79" spans="1:22" x14ac:dyDescent="0.25">
      <c r="A79" s="34" t="s">
        <v>223</v>
      </c>
      <c r="B79" s="34" t="s">
        <v>224</v>
      </c>
      <c r="C79" s="34">
        <v>45362</v>
      </c>
      <c r="D79" s="34">
        <v>425000</v>
      </c>
      <c r="E79" s="34">
        <v>412550</v>
      </c>
      <c r="F79" s="34">
        <v>42850</v>
      </c>
      <c r="G79" s="34">
        <v>272222</v>
      </c>
      <c r="H79" s="27">
        <f t="shared" si="4"/>
        <v>315072</v>
      </c>
      <c r="I79" s="34">
        <v>2</v>
      </c>
      <c r="J79" s="34">
        <v>3211548</v>
      </c>
      <c r="K79" s="34" t="s">
        <v>78</v>
      </c>
      <c r="L79" s="34">
        <v>7.15</v>
      </c>
      <c r="M79" s="34">
        <v>1944</v>
      </c>
      <c r="N79" s="34">
        <v>1960</v>
      </c>
      <c r="O79" s="34">
        <v>26</v>
      </c>
      <c r="P79" s="35">
        <f>(F79+G79)/E79</f>
        <v>0.76371833717125193</v>
      </c>
      <c r="Q79" s="34">
        <v>3</v>
      </c>
      <c r="R79" s="1">
        <f t="shared" si="5"/>
        <v>0.776915379953945</v>
      </c>
      <c r="S79" s="1">
        <f t="shared" si="6"/>
        <v>0.776915379953945</v>
      </c>
      <c r="V79" s="36"/>
    </row>
    <row r="80" spans="1:22" x14ac:dyDescent="0.25">
      <c r="A80" s="34" t="s">
        <v>227</v>
      </c>
      <c r="B80" s="34" t="s">
        <v>228</v>
      </c>
      <c r="C80" s="34">
        <v>45391</v>
      </c>
      <c r="D80" s="34">
        <v>182000</v>
      </c>
      <c r="E80" s="34">
        <v>182000</v>
      </c>
      <c r="F80" s="34">
        <v>43500</v>
      </c>
      <c r="G80" s="34">
        <v>126390</v>
      </c>
      <c r="H80" s="27">
        <f t="shared" si="4"/>
        <v>169890</v>
      </c>
      <c r="I80" s="34">
        <v>3</v>
      </c>
      <c r="J80" s="34">
        <v>6322246</v>
      </c>
      <c r="K80" s="34" t="s">
        <v>91</v>
      </c>
      <c r="L80" s="34">
        <v>3</v>
      </c>
      <c r="M80" s="34">
        <v>1176</v>
      </c>
      <c r="N80" s="34">
        <v>1980</v>
      </c>
      <c r="O80" s="34">
        <v>18</v>
      </c>
      <c r="P80" s="35">
        <f>(F80+G80)/E80</f>
        <v>0.93346153846153845</v>
      </c>
      <c r="Q80" s="34">
        <v>2.5</v>
      </c>
      <c r="R80" s="1">
        <f t="shared" si="5"/>
        <v>0.94735054945054942</v>
      </c>
      <c r="S80" s="1">
        <f t="shared" si="6"/>
        <v>0.94735054945054942</v>
      </c>
      <c r="V80" s="36"/>
    </row>
    <row r="81" spans="1:22" x14ac:dyDescent="0.25">
      <c r="A81" s="34" t="s">
        <v>229</v>
      </c>
      <c r="B81" s="34" t="s">
        <v>230</v>
      </c>
      <c r="C81" s="34">
        <v>45320</v>
      </c>
      <c r="D81" s="34">
        <v>365000</v>
      </c>
      <c r="E81" s="34">
        <v>354500</v>
      </c>
      <c r="F81" s="34">
        <v>54295</v>
      </c>
      <c r="G81" s="34">
        <v>276843</v>
      </c>
      <c r="H81" s="27">
        <f t="shared" si="4"/>
        <v>331138</v>
      </c>
      <c r="I81" s="34">
        <v>2</v>
      </c>
      <c r="J81" s="34">
        <v>3253519</v>
      </c>
      <c r="K81" s="34" t="s">
        <v>55</v>
      </c>
      <c r="L81" s="34">
        <v>0.18</v>
      </c>
      <c r="M81" s="34">
        <v>1686</v>
      </c>
      <c r="N81" s="34">
        <v>2015</v>
      </c>
      <c r="O81" s="34">
        <v>4</v>
      </c>
      <c r="P81" s="35">
        <f>(F81+G81)/E81</f>
        <v>0.93409873060648796</v>
      </c>
      <c r="Q81" s="34">
        <v>3</v>
      </c>
      <c r="R81" s="1">
        <f t="shared" si="5"/>
        <v>0.94971751763046541</v>
      </c>
      <c r="S81" s="1">
        <f t="shared" si="6"/>
        <v>0.94971751763046541</v>
      </c>
      <c r="V81" s="36"/>
    </row>
    <row r="82" spans="1:22" x14ac:dyDescent="0.25">
      <c r="A82" s="34" t="s">
        <v>231</v>
      </c>
      <c r="B82" s="34" t="s">
        <v>232</v>
      </c>
      <c r="C82" s="34">
        <v>45540</v>
      </c>
      <c r="D82" s="34">
        <v>253800</v>
      </c>
      <c r="E82" s="34">
        <v>250000</v>
      </c>
      <c r="F82" s="34">
        <v>42600</v>
      </c>
      <c r="G82" s="34">
        <v>198484</v>
      </c>
      <c r="H82" s="27">
        <f t="shared" si="4"/>
        <v>241084</v>
      </c>
      <c r="I82" s="34">
        <v>2</v>
      </c>
      <c r="J82" s="34">
        <v>6353510</v>
      </c>
      <c r="K82" s="34" t="s">
        <v>55</v>
      </c>
      <c r="L82" s="34">
        <v>0.16</v>
      </c>
      <c r="M82" s="34">
        <v>1008</v>
      </c>
      <c r="N82" s="34">
        <v>1978</v>
      </c>
      <c r="O82" s="34">
        <v>14</v>
      </c>
      <c r="P82" s="35">
        <f>(F82+G82)/E82</f>
        <v>0.96433599999999997</v>
      </c>
      <c r="Q82" s="34">
        <v>3</v>
      </c>
      <c r="R82" s="1">
        <f t="shared" si="5"/>
        <v>0.98021471999999998</v>
      </c>
      <c r="S82" s="1">
        <f t="shared" si="6"/>
        <v>0.98021471999999998</v>
      </c>
      <c r="V82" s="36"/>
    </row>
    <row r="83" spans="1:22" x14ac:dyDescent="0.25">
      <c r="A83" s="34" t="s">
        <v>233</v>
      </c>
      <c r="B83" s="34" t="s">
        <v>234</v>
      </c>
      <c r="C83" s="34">
        <v>45435</v>
      </c>
      <c r="D83" s="34">
        <v>429900</v>
      </c>
      <c r="E83" s="34">
        <v>429900</v>
      </c>
      <c r="F83" s="34">
        <v>55195</v>
      </c>
      <c r="G83" s="34">
        <v>348043</v>
      </c>
      <c r="H83" s="27">
        <f t="shared" si="4"/>
        <v>403238</v>
      </c>
      <c r="I83" s="34">
        <v>2</v>
      </c>
      <c r="J83" s="34">
        <v>6353519</v>
      </c>
      <c r="K83" s="34" t="s">
        <v>55</v>
      </c>
      <c r="L83" s="34">
        <v>0.3</v>
      </c>
      <c r="M83" s="34">
        <v>3400</v>
      </c>
      <c r="N83" s="34">
        <v>2024</v>
      </c>
      <c r="O83" s="34">
        <v>1</v>
      </c>
      <c r="P83" s="35">
        <f>(F83+G83)/E83</f>
        <v>0.9379809257966969</v>
      </c>
      <c r="Q83" s="34">
        <v>3.5</v>
      </c>
      <c r="R83" s="1">
        <f t="shared" si="5"/>
        <v>0.95417273784601064</v>
      </c>
      <c r="S83" s="1">
        <f t="shared" si="6"/>
        <v>0.9379809257966969</v>
      </c>
      <c r="V83" s="36"/>
    </row>
    <row r="84" spans="1:22" x14ac:dyDescent="0.25">
      <c r="A84" s="34" t="s">
        <v>235</v>
      </c>
      <c r="B84" s="34" t="s">
        <v>236</v>
      </c>
      <c r="C84" s="34">
        <v>45352</v>
      </c>
      <c r="D84" s="34">
        <v>325000</v>
      </c>
      <c r="E84" s="34">
        <v>325000</v>
      </c>
      <c r="F84" s="34">
        <v>57000</v>
      </c>
      <c r="G84" s="34">
        <v>231763</v>
      </c>
      <c r="H84" s="27">
        <f t="shared" si="4"/>
        <v>288763</v>
      </c>
      <c r="I84" s="34">
        <v>2</v>
      </c>
      <c r="J84" s="34">
        <v>6353510</v>
      </c>
      <c r="K84" s="34" t="s">
        <v>55</v>
      </c>
      <c r="L84" s="34">
        <v>0.25</v>
      </c>
      <c r="M84" s="34">
        <v>2500</v>
      </c>
      <c r="N84" s="34">
        <v>1973</v>
      </c>
      <c r="O84" s="34">
        <v>0</v>
      </c>
      <c r="P84" s="35">
        <f>(F84+G84)/E84</f>
        <v>0.88850153846153845</v>
      </c>
      <c r="Q84" s="34">
        <v>3</v>
      </c>
      <c r="R84" s="1">
        <f t="shared" si="5"/>
        <v>0.90276387692307691</v>
      </c>
      <c r="S84" s="1">
        <f t="shared" si="6"/>
        <v>0.90276387692307691</v>
      </c>
      <c r="V84" s="36"/>
    </row>
    <row r="85" spans="1:22" x14ac:dyDescent="0.25">
      <c r="A85" s="34" t="s">
        <v>237</v>
      </c>
      <c r="B85" s="34" t="s">
        <v>238</v>
      </c>
      <c r="C85" s="34">
        <v>45399</v>
      </c>
      <c r="D85" s="34">
        <v>385000</v>
      </c>
      <c r="E85" s="34">
        <v>373450</v>
      </c>
      <c r="F85" s="34">
        <v>54076</v>
      </c>
      <c r="G85" s="34">
        <v>300629</v>
      </c>
      <c r="H85" s="27">
        <f t="shared" si="4"/>
        <v>354705</v>
      </c>
      <c r="I85" s="34">
        <v>2</v>
      </c>
      <c r="J85" s="34">
        <v>6353519</v>
      </c>
      <c r="K85" s="34" t="s">
        <v>55</v>
      </c>
      <c r="L85" s="34">
        <v>0.16</v>
      </c>
      <c r="M85" s="34">
        <v>1256</v>
      </c>
      <c r="N85" s="34">
        <v>2015</v>
      </c>
      <c r="O85" s="34">
        <v>4</v>
      </c>
      <c r="P85" s="35">
        <f>(F85+G85)/E85</f>
        <v>0.94980586423885394</v>
      </c>
      <c r="Q85" s="34">
        <v>3</v>
      </c>
      <c r="R85" s="1">
        <f t="shared" si="5"/>
        <v>0.96590595795956624</v>
      </c>
      <c r="S85" s="1">
        <f t="shared" si="6"/>
        <v>0.94980586423885394</v>
      </c>
      <c r="V85" s="36"/>
    </row>
    <row r="86" spans="1:22" x14ac:dyDescent="0.25">
      <c r="A86" s="34" t="s">
        <v>239</v>
      </c>
      <c r="B86" s="34" t="s">
        <v>240</v>
      </c>
      <c r="C86" s="34">
        <v>45391</v>
      </c>
      <c r="D86" s="34">
        <v>645950</v>
      </c>
      <c r="E86" s="34">
        <v>645950</v>
      </c>
      <c r="F86" s="34">
        <v>32447</v>
      </c>
      <c r="G86" s="34">
        <v>557193</v>
      </c>
      <c r="H86" s="27">
        <f t="shared" si="4"/>
        <v>589640</v>
      </c>
      <c r="I86" s="34">
        <v>1</v>
      </c>
      <c r="J86" s="34">
        <v>5153513</v>
      </c>
      <c r="K86" s="34" t="s">
        <v>241</v>
      </c>
      <c r="L86" s="34">
        <v>16.760000000000002</v>
      </c>
      <c r="M86" s="34">
        <v>3058</v>
      </c>
      <c r="N86" s="34">
        <v>2014</v>
      </c>
      <c r="O86" s="34">
        <v>4</v>
      </c>
      <c r="P86" s="35">
        <f>(F86+G86)/E86</f>
        <v>0.91282607012926698</v>
      </c>
      <c r="Q86" s="34">
        <v>3</v>
      </c>
      <c r="R86" s="1">
        <f t="shared" si="5"/>
        <v>0.93007796269061072</v>
      </c>
      <c r="S86" s="1">
        <f t="shared" si="6"/>
        <v>0.9214520164099389</v>
      </c>
      <c r="V86" s="36"/>
    </row>
    <row r="87" spans="1:22" x14ac:dyDescent="0.25">
      <c r="A87" s="34" t="s">
        <v>244</v>
      </c>
      <c r="B87" s="34" t="s">
        <v>245</v>
      </c>
      <c r="C87" s="34">
        <v>45461</v>
      </c>
      <c r="D87" s="34">
        <v>499500</v>
      </c>
      <c r="E87" s="34">
        <v>490000</v>
      </c>
      <c r="F87" s="34">
        <v>50640</v>
      </c>
      <c r="G87" s="34">
        <v>416805</v>
      </c>
      <c r="H87" s="27">
        <f t="shared" si="4"/>
        <v>467445</v>
      </c>
      <c r="I87" s="34">
        <v>2</v>
      </c>
      <c r="J87" s="34">
        <v>6353516</v>
      </c>
      <c r="K87" s="34" t="s">
        <v>55</v>
      </c>
      <c r="L87" s="34">
        <v>0.28999999999999998</v>
      </c>
      <c r="M87" s="34">
        <v>1939</v>
      </c>
      <c r="N87" s="34">
        <v>2011</v>
      </c>
      <c r="O87" s="34">
        <v>6</v>
      </c>
      <c r="P87" s="35">
        <f>(F87+G87)/E87</f>
        <v>0.95396938775510209</v>
      </c>
      <c r="Q87" s="34">
        <v>3.5</v>
      </c>
      <c r="R87" s="1">
        <f t="shared" si="5"/>
        <v>0.97098183673469396</v>
      </c>
      <c r="S87" s="1">
        <f t="shared" si="6"/>
        <v>0.95396938775510209</v>
      </c>
      <c r="V87" s="36"/>
    </row>
    <row r="88" spans="1:22" x14ac:dyDescent="0.25">
      <c r="A88" s="34" t="s">
        <v>246</v>
      </c>
      <c r="B88" s="34" t="s">
        <v>247</v>
      </c>
      <c r="C88" s="34">
        <v>45421</v>
      </c>
      <c r="D88" s="34">
        <v>72000</v>
      </c>
      <c r="E88" s="34">
        <v>72000</v>
      </c>
      <c r="F88" s="34">
        <v>31500</v>
      </c>
      <c r="G88" s="34">
        <v>33219</v>
      </c>
      <c r="H88" s="27">
        <f t="shared" si="4"/>
        <v>64719</v>
      </c>
      <c r="I88" s="34">
        <v>3</v>
      </c>
      <c r="J88" s="34">
        <v>8222715</v>
      </c>
      <c r="K88" s="34" t="s">
        <v>140</v>
      </c>
      <c r="L88" s="34">
        <v>5</v>
      </c>
      <c r="M88" s="34">
        <v>320</v>
      </c>
      <c r="N88" s="34">
        <v>2014</v>
      </c>
      <c r="O88" s="34">
        <v>4</v>
      </c>
      <c r="P88" s="35">
        <f>(F88+G88)/E88</f>
        <v>0.89887499999999998</v>
      </c>
      <c r="Q88" s="34">
        <v>3</v>
      </c>
      <c r="R88" s="1">
        <f t="shared" si="5"/>
        <v>0.90810249999999992</v>
      </c>
      <c r="S88" s="1">
        <f t="shared" si="6"/>
        <v>0.90810249999999992</v>
      </c>
      <c r="V88" s="36"/>
    </row>
    <row r="89" spans="1:22" x14ac:dyDescent="0.25">
      <c r="A89" s="34" t="s">
        <v>248</v>
      </c>
      <c r="B89" s="34" t="s">
        <v>249</v>
      </c>
      <c r="C89" s="34">
        <v>45442</v>
      </c>
      <c r="D89" s="34">
        <v>550000</v>
      </c>
      <c r="E89" s="34">
        <v>550000</v>
      </c>
      <c r="F89" s="34">
        <v>55840</v>
      </c>
      <c r="G89" s="34">
        <v>470211</v>
      </c>
      <c r="H89" s="27">
        <f t="shared" si="4"/>
        <v>526051</v>
      </c>
      <c r="I89" s="34">
        <v>2</v>
      </c>
      <c r="J89" s="34">
        <v>6353516</v>
      </c>
      <c r="K89" s="34" t="s">
        <v>55</v>
      </c>
      <c r="L89" s="34">
        <v>0.34</v>
      </c>
      <c r="M89" s="34">
        <v>1564</v>
      </c>
      <c r="N89" s="34">
        <v>2004</v>
      </c>
      <c r="O89" s="34">
        <v>8</v>
      </c>
      <c r="P89" s="35">
        <f>(F89+G89)/E89</f>
        <v>0.95645636363636366</v>
      </c>
      <c r="Q89" s="34">
        <v>3.5</v>
      </c>
      <c r="R89" s="1">
        <f t="shared" si="5"/>
        <v>0.97355494545454535</v>
      </c>
      <c r="S89" s="1">
        <f t="shared" si="6"/>
        <v>0.95645636363636366</v>
      </c>
      <c r="V89" s="36"/>
    </row>
    <row r="90" spans="1:22" x14ac:dyDescent="0.25">
      <c r="A90" s="34" t="s">
        <v>250</v>
      </c>
      <c r="B90" s="34" t="s">
        <v>251</v>
      </c>
      <c r="C90" s="34">
        <v>45408</v>
      </c>
      <c r="D90" s="34">
        <v>350000</v>
      </c>
      <c r="E90" s="34">
        <v>350000</v>
      </c>
      <c r="F90" s="34">
        <v>49770</v>
      </c>
      <c r="G90" s="34">
        <v>288655</v>
      </c>
      <c r="H90" s="27">
        <f t="shared" si="4"/>
        <v>338425</v>
      </c>
      <c r="I90" s="34">
        <v>2</v>
      </c>
      <c r="J90" s="34">
        <v>1353156</v>
      </c>
      <c r="K90" s="34" t="s">
        <v>183</v>
      </c>
      <c r="L90" s="34">
        <v>1.77</v>
      </c>
      <c r="M90" s="34">
        <v>2030</v>
      </c>
      <c r="N90" s="34">
        <v>2000</v>
      </c>
      <c r="O90" s="34">
        <v>10</v>
      </c>
      <c r="P90" s="35">
        <f>(F90+G90)/E90</f>
        <v>0.96692857142857147</v>
      </c>
      <c r="Q90" s="34">
        <v>3</v>
      </c>
      <c r="R90" s="1">
        <f t="shared" si="5"/>
        <v>0.98342314285714283</v>
      </c>
      <c r="S90" s="1">
        <f t="shared" si="6"/>
        <v>0.98342314285714283</v>
      </c>
      <c r="V90" s="36"/>
    </row>
    <row r="91" spans="1:22" x14ac:dyDescent="0.25">
      <c r="A91" s="34" t="s">
        <v>252</v>
      </c>
      <c r="B91" s="34" t="s">
        <v>253</v>
      </c>
      <c r="C91" s="34">
        <v>45337</v>
      </c>
      <c r="D91" s="34">
        <v>615000</v>
      </c>
      <c r="E91" s="34">
        <v>615000</v>
      </c>
      <c r="F91" s="34">
        <v>58870</v>
      </c>
      <c r="G91" s="34">
        <v>536803</v>
      </c>
      <c r="H91" s="27">
        <f t="shared" si="4"/>
        <v>595673</v>
      </c>
      <c r="I91" s="34">
        <v>2</v>
      </c>
      <c r="J91" s="34">
        <v>6353516</v>
      </c>
      <c r="K91" s="34" t="s">
        <v>55</v>
      </c>
      <c r="L91" s="34">
        <v>0.37</v>
      </c>
      <c r="M91" s="34">
        <v>2330</v>
      </c>
      <c r="N91" s="34">
        <v>2012</v>
      </c>
      <c r="O91" s="34">
        <v>5</v>
      </c>
      <c r="P91" s="35">
        <f>(F91+G91)/E91</f>
        <v>0.96857398373983739</v>
      </c>
      <c r="Q91" s="34">
        <v>3.5</v>
      </c>
      <c r="R91" s="1">
        <f t="shared" si="5"/>
        <v>0.98603099186991883</v>
      </c>
      <c r="S91" s="1">
        <f t="shared" si="6"/>
        <v>0.97730248780487805</v>
      </c>
      <c r="V91" s="36"/>
    </row>
    <row r="92" spans="1:22" x14ac:dyDescent="0.25">
      <c r="A92" s="34" t="s">
        <v>254</v>
      </c>
      <c r="B92" s="34" t="s">
        <v>255</v>
      </c>
      <c r="C92" s="34">
        <v>45421</v>
      </c>
      <c r="D92" s="34">
        <v>559000</v>
      </c>
      <c r="E92" s="34">
        <v>550626</v>
      </c>
      <c r="F92" s="34">
        <v>43680</v>
      </c>
      <c r="G92" s="34">
        <v>387581</v>
      </c>
      <c r="H92" s="27">
        <f t="shared" si="4"/>
        <v>431261</v>
      </c>
      <c r="I92" s="34">
        <v>2</v>
      </c>
      <c r="J92" s="34">
        <v>6353516</v>
      </c>
      <c r="K92" s="34" t="s">
        <v>55</v>
      </c>
      <c r="L92" s="34">
        <v>0.23</v>
      </c>
      <c r="M92" s="34">
        <v>3647</v>
      </c>
      <c r="N92" s="34">
        <v>2011</v>
      </c>
      <c r="O92" s="34">
        <v>6</v>
      </c>
      <c r="P92" s="35">
        <f>(F92+G92)/E92</f>
        <v>0.78321946293854627</v>
      </c>
      <c r="Q92" s="34">
        <v>4</v>
      </c>
      <c r="R92" s="1">
        <f t="shared" si="5"/>
        <v>0.79729729435224639</v>
      </c>
      <c r="S92" s="1">
        <f t="shared" si="6"/>
        <v>0.78321946293854627</v>
      </c>
      <c r="V92" s="36"/>
    </row>
    <row r="93" spans="1:22" x14ac:dyDescent="0.25">
      <c r="A93" s="34" t="s">
        <v>256</v>
      </c>
      <c r="B93" s="34" t="s">
        <v>257</v>
      </c>
      <c r="C93" s="34">
        <v>45634</v>
      </c>
      <c r="D93" s="34">
        <v>305000</v>
      </c>
      <c r="E93" s="34">
        <v>305000</v>
      </c>
      <c r="F93" s="34">
        <v>35750</v>
      </c>
      <c r="G93" s="34">
        <v>260484</v>
      </c>
      <c r="H93" s="27">
        <f t="shared" si="4"/>
        <v>296234</v>
      </c>
      <c r="I93" s="34">
        <v>1</v>
      </c>
      <c r="J93" s="34">
        <v>5133573</v>
      </c>
      <c r="K93" s="34" t="s">
        <v>137</v>
      </c>
      <c r="L93" s="34">
        <v>2.94</v>
      </c>
      <c r="M93" s="34">
        <v>1792</v>
      </c>
      <c r="N93" s="34">
        <v>2007</v>
      </c>
      <c r="O93" s="34">
        <v>7</v>
      </c>
      <c r="P93" s="35">
        <f>(F93+G93)/E93</f>
        <v>0.97125901639344259</v>
      </c>
      <c r="Q93" s="34">
        <v>2</v>
      </c>
      <c r="R93" s="1">
        <f t="shared" si="5"/>
        <v>0.98833993442622947</v>
      </c>
      <c r="S93" s="1">
        <f t="shared" si="6"/>
        <v>0.98833993442622947</v>
      </c>
      <c r="V93" s="36"/>
    </row>
    <row r="94" spans="1:22" x14ac:dyDescent="0.25">
      <c r="A94" s="34" t="s">
        <v>258</v>
      </c>
      <c r="B94" s="34" t="s">
        <v>259</v>
      </c>
      <c r="C94" s="34">
        <v>45412</v>
      </c>
      <c r="D94" s="34">
        <v>615000</v>
      </c>
      <c r="E94" s="34">
        <v>605000</v>
      </c>
      <c r="F94" s="34">
        <v>54000</v>
      </c>
      <c r="G94" s="34">
        <v>536130</v>
      </c>
      <c r="H94" s="27">
        <f t="shared" si="4"/>
        <v>590130</v>
      </c>
      <c r="I94" s="34">
        <v>2</v>
      </c>
      <c r="J94" s="34">
        <v>1353156</v>
      </c>
      <c r="K94" s="34" t="s">
        <v>183</v>
      </c>
      <c r="L94" s="34">
        <v>6</v>
      </c>
      <c r="M94" s="34">
        <v>2400</v>
      </c>
      <c r="N94" s="34">
        <v>2015</v>
      </c>
      <c r="O94" s="34">
        <v>4</v>
      </c>
      <c r="P94" s="35">
        <f>(F94+G94)/E94</f>
        <v>0.97542148760330583</v>
      </c>
      <c r="Q94" s="34">
        <v>4</v>
      </c>
      <c r="R94" s="1">
        <f t="shared" si="5"/>
        <v>0.99314479338842976</v>
      </c>
      <c r="S94" s="1">
        <f t="shared" si="6"/>
        <v>0.98428314049586785</v>
      </c>
      <c r="V94" s="36"/>
    </row>
    <row r="95" spans="1:22" x14ac:dyDescent="0.25">
      <c r="A95" s="34" t="s">
        <v>260</v>
      </c>
      <c r="B95" s="34" t="s">
        <v>261</v>
      </c>
      <c r="C95" s="34">
        <v>45359</v>
      </c>
      <c r="D95" s="34">
        <v>739000</v>
      </c>
      <c r="E95" s="34">
        <v>739000</v>
      </c>
      <c r="F95" s="34">
        <v>95705</v>
      </c>
      <c r="G95" s="34">
        <v>638137</v>
      </c>
      <c r="H95" s="27">
        <f t="shared" si="4"/>
        <v>733842</v>
      </c>
      <c r="I95" s="34">
        <v>2</v>
      </c>
      <c r="J95" s="34">
        <v>6353515</v>
      </c>
      <c r="K95" s="34" t="s">
        <v>55</v>
      </c>
      <c r="L95" s="34">
        <v>0.48</v>
      </c>
      <c r="M95" s="34">
        <v>4578</v>
      </c>
      <c r="N95" s="34">
        <v>2014</v>
      </c>
      <c r="O95" s="34">
        <v>0</v>
      </c>
      <c r="P95" s="35">
        <f>(F95+G95)/E95</f>
        <v>0.9930202976995941</v>
      </c>
      <c r="Q95" s="34">
        <v>3</v>
      </c>
      <c r="R95" s="1">
        <f t="shared" si="5"/>
        <v>1.0102905818673884</v>
      </c>
      <c r="S95" s="1">
        <f t="shared" si="6"/>
        <v>1.0016554397834911</v>
      </c>
      <c r="V95" s="36"/>
    </row>
    <row r="96" spans="1:22" x14ac:dyDescent="0.25">
      <c r="A96" s="34" t="s">
        <v>262</v>
      </c>
      <c r="B96" s="34" t="s">
        <v>263</v>
      </c>
      <c r="C96" s="34">
        <v>45303</v>
      </c>
      <c r="D96" s="34">
        <v>220000</v>
      </c>
      <c r="E96" s="34">
        <v>220000</v>
      </c>
      <c r="F96" s="34">
        <v>61200</v>
      </c>
      <c r="G96" s="34">
        <v>231760</v>
      </c>
      <c r="H96" s="27">
        <f t="shared" si="4"/>
        <v>292960</v>
      </c>
      <c r="I96" s="34">
        <v>2</v>
      </c>
      <c r="J96" s="34">
        <v>6353510</v>
      </c>
      <c r="K96" s="34" t="s">
        <v>55</v>
      </c>
      <c r="L96" s="34">
        <v>0.49</v>
      </c>
      <c r="M96" s="34">
        <v>2468</v>
      </c>
      <c r="N96" s="34">
        <v>1919</v>
      </c>
      <c r="O96" s="34">
        <v>31</v>
      </c>
      <c r="P96" s="35">
        <f>(F96+G96)/E96</f>
        <v>1.3316363636363637</v>
      </c>
      <c r="Q96" s="34">
        <v>2.5</v>
      </c>
      <c r="R96" s="1">
        <f t="shared" si="5"/>
        <v>1.3527054545454547</v>
      </c>
      <c r="S96" s="1">
        <f t="shared" si="6"/>
        <v>1.3527054545454547</v>
      </c>
      <c r="V96" s="36"/>
    </row>
    <row r="97" spans="1:22" x14ac:dyDescent="0.25">
      <c r="A97" s="34" t="s">
        <v>264</v>
      </c>
      <c r="B97" s="34" t="s">
        <v>265</v>
      </c>
      <c r="C97" s="34">
        <v>45331</v>
      </c>
      <c r="D97" s="34">
        <v>315000</v>
      </c>
      <c r="E97" s="34">
        <v>306000</v>
      </c>
      <c r="F97" s="34">
        <v>33050</v>
      </c>
      <c r="G97" s="34">
        <v>273794</v>
      </c>
      <c r="H97" s="27">
        <f t="shared" si="4"/>
        <v>306844</v>
      </c>
      <c r="I97" s="34">
        <v>2</v>
      </c>
      <c r="J97" s="34">
        <v>3211548</v>
      </c>
      <c r="K97" s="34" t="s">
        <v>60</v>
      </c>
      <c r="L97" s="34">
        <v>1.81</v>
      </c>
      <c r="M97" s="34">
        <v>1762</v>
      </c>
      <c r="N97" s="34">
        <v>1900</v>
      </c>
      <c r="O97" s="34">
        <v>34</v>
      </c>
      <c r="P97" s="35">
        <f>(F97+G97)/E97</f>
        <v>1.0027581699346406</v>
      </c>
      <c r="Q97" s="34">
        <v>2.5</v>
      </c>
      <c r="R97" s="1">
        <f t="shared" si="5"/>
        <v>1.0206532026143791</v>
      </c>
      <c r="S97" s="1">
        <f t="shared" si="6"/>
        <v>1.0206532026143791</v>
      </c>
      <c r="V97" s="36"/>
    </row>
    <row r="98" spans="1:22" x14ac:dyDescent="0.25">
      <c r="A98" s="34" t="s">
        <v>266</v>
      </c>
      <c r="B98" s="34" t="s">
        <v>267</v>
      </c>
      <c r="C98" s="34">
        <v>45510</v>
      </c>
      <c r="D98" s="34">
        <v>305000</v>
      </c>
      <c r="E98" s="34">
        <v>295000</v>
      </c>
      <c r="F98" s="34">
        <v>63680</v>
      </c>
      <c r="G98" s="34">
        <v>242511</v>
      </c>
      <c r="H98" s="27">
        <f t="shared" si="4"/>
        <v>306191</v>
      </c>
      <c r="I98" s="34">
        <v>3</v>
      </c>
      <c r="J98" s="34">
        <v>2363717</v>
      </c>
      <c r="K98" s="34" t="s">
        <v>134</v>
      </c>
      <c r="L98" s="34">
        <v>4.96</v>
      </c>
      <c r="M98" s="34">
        <v>1296</v>
      </c>
      <c r="N98" s="34">
        <v>2005</v>
      </c>
      <c r="O98" s="34">
        <v>8</v>
      </c>
      <c r="P98" s="35">
        <f>(F98+G98)/E98</f>
        <v>1.0379355932203389</v>
      </c>
      <c r="Q98" s="34">
        <v>3</v>
      </c>
      <c r="R98" s="1">
        <f t="shared" si="5"/>
        <v>1.0543770169491524</v>
      </c>
      <c r="S98" s="1">
        <f t="shared" si="6"/>
        <v>1.0543770169491524</v>
      </c>
      <c r="V98" s="36"/>
    </row>
    <row r="99" spans="1:22" x14ac:dyDescent="0.25">
      <c r="A99" s="34" t="s">
        <v>268</v>
      </c>
      <c r="B99" s="34" t="s">
        <v>269</v>
      </c>
      <c r="C99" s="34">
        <v>45376</v>
      </c>
      <c r="D99" s="34">
        <v>625000</v>
      </c>
      <c r="E99" s="34">
        <v>623438</v>
      </c>
      <c r="F99" s="34">
        <v>74000</v>
      </c>
      <c r="G99" s="34">
        <v>524158</v>
      </c>
      <c r="H99" s="27">
        <f t="shared" si="4"/>
        <v>598158</v>
      </c>
      <c r="I99" s="34">
        <v>3</v>
      </c>
      <c r="J99" s="34">
        <v>1211575</v>
      </c>
      <c r="K99" s="34" t="s">
        <v>25</v>
      </c>
      <c r="L99" s="34">
        <v>5</v>
      </c>
      <c r="M99" s="34">
        <v>1927</v>
      </c>
      <c r="N99" s="34">
        <v>1998</v>
      </c>
      <c r="O99" s="34">
        <v>10</v>
      </c>
      <c r="P99" s="35">
        <f>(F99+G99)/E99</f>
        <v>0.95945065908719074</v>
      </c>
      <c r="Q99" s="34">
        <v>3.5</v>
      </c>
      <c r="R99" s="1">
        <f t="shared" si="5"/>
        <v>0.97626573933574801</v>
      </c>
      <c r="S99" s="1">
        <f t="shared" si="6"/>
        <v>0.96785819921146921</v>
      </c>
      <c r="V99" s="36"/>
    </row>
    <row r="100" spans="1:22" x14ac:dyDescent="0.25">
      <c r="A100" s="34" t="s">
        <v>270</v>
      </c>
      <c r="B100" s="34" t="s">
        <v>271</v>
      </c>
      <c r="C100" s="34">
        <v>45457</v>
      </c>
      <c r="D100" s="34">
        <v>490000</v>
      </c>
      <c r="E100" s="34">
        <v>475300</v>
      </c>
      <c r="F100" s="34">
        <v>50640</v>
      </c>
      <c r="G100" s="34">
        <v>417701</v>
      </c>
      <c r="H100" s="27">
        <f t="shared" si="4"/>
        <v>468341</v>
      </c>
      <c r="I100" s="34">
        <v>2</v>
      </c>
      <c r="J100" s="34">
        <v>6353516</v>
      </c>
      <c r="K100" s="34" t="s">
        <v>55</v>
      </c>
      <c r="L100" s="34">
        <v>0.28999999999999998</v>
      </c>
      <c r="M100" s="34">
        <v>1584</v>
      </c>
      <c r="N100" s="34">
        <v>2013</v>
      </c>
      <c r="O100" s="34">
        <v>5</v>
      </c>
      <c r="P100" s="35">
        <f>(F100+G100)/E100</f>
        <v>0.98535872080791076</v>
      </c>
      <c r="Q100" s="34">
        <v>3.5</v>
      </c>
      <c r="R100" s="1">
        <f t="shared" si="5"/>
        <v>1.0029350305070481</v>
      </c>
      <c r="S100" s="1">
        <f t="shared" si="6"/>
        <v>0.98535872080791076</v>
      </c>
      <c r="V100" s="36"/>
    </row>
    <row r="101" spans="1:22" x14ac:dyDescent="0.25">
      <c r="A101" s="34" t="s">
        <v>272</v>
      </c>
      <c r="B101" s="34" t="s">
        <v>273</v>
      </c>
      <c r="C101" s="34">
        <v>45533</v>
      </c>
      <c r="D101" s="34">
        <v>275000</v>
      </c>
      <c r="E101" s="34">
        <v>266750</v>
      </c>
      <c r="F101" s="34">
        <v>54836</v>
      </c>
      <c r="G101" s="34">
        <v>209524</v>
      </c>
      <c r="H101" s="27">
        <f t="shared" si="4"/>
        <v>264360</v>
      </c>
      <c r="I101" s="34">
        <v>2</v>
      </c>
      <c r="J101" s="34">
        <v>6353519</v>
      </c>
      <c r="K101" s="34" t="s">
        <v>55</v>
      </c>
      <c r="L101" s="34">
        <v>0.25</v>
      </c>
      <c r="M101" s="34">
        <v>1126</v>
      </c>
      <c r="N101" s="34">
        <v>2012</v>
      </c>
      <c r="O101" s="34">
        <v>0</v>
      </c>
      <c r="P101" s="35">
        <f>(F101+G101)/E101</f>
        <v>0.99104029990627929</v>
      </c>
      <c r="Q101" s="34">
        <v>3</v>
      </c>
      <c r="R101" s="1">
        <f t="shared" si="5"/>
        <v>1.0067496907216493</v>
      </c>
      <c r="S101" s="1">
        <f t="shared" si="6"/>
        <v>1.0067496907216493</v>
      </c>
      <c r="V101" s="36"/>
    </row>
    <row r="102" spans="1:22" x14ac:dyDescent="0.25">
      <c r="A102" s="34" t="s">
        <v>274</v>
      </c>
      <c r="B102" s="34" t="s">
        <v>275</v>
      </c>
      <c r="C102" s="34">
        <v>45342</v>
      </c>
      <c r="D102" s="34">
        <v>335000</v>
      </c>
      <c r="E102" s="34">
        <v>335000</v>
      </c>
      <c r="F102" s="34">
        <v>43440</v>
      </c>
      <c r="G102" s="34">
        <v>288707</v>
      </c>
      <c r="H102" s="27">
        <f t="shared" si="4"/>
        <v>332147</v>
      </c>
      <c r="I102" s="34">
        <v>4</v>
      </c>
      <c r="J102" s="34">
        <v>5222555</v>
      </c>
      <c r="K102" s="34" t="s">
        <v>73</v>
      </c>
      <c r="L102" s="34">
        <v>1</v>
      </c>
      <c r="M102" s="34">
        <v>2248</v>
      </c>
      <c r="N102" s="34">
        <v>1981</v>
      </c>
      <c r="O102" s="34">
        <v>0</v>
      </c>
      <c r="P102" s="35">
        <f>(F102+G102)/E102</f>
        <v>0.99148358208955223</v>
      </c>
      <c r="Q102" s="34">
        <v>3</v>
      </c>
      <c r="R102" s="1">
        <f t="shared" si="5"/>
        <v>1.0087198208955224</v>
      </c>
      <c r="S102" s="1">
        <f t="shared" si="6"/>
        <v>1.0087198208955224</v>
      </c>
      <c r="V102" s="36"/>
    </row>
    <row r="103" spans="1:22" x14ac:dyDescent="0.25">
      <c r="A103" s="34" t="s">
        <v>276</v>
      </c>
      <c r="B103" s="34" t="s">
        <v>277</v>
      </c>
      <c r="C103" s="34">
        <v>45475</v>
      </c>
      <c r="D103" s="34">
        <v>285000</v>
      </c>
      <c r="E103" s="34">
        <v>276000</v>
      </c>
      <c r="F103" s="34">
        <v>84000</v>
      </c>
      <c r="G103" s="34">
        <v>189684</v>
      </c>
      <c r="H103" s="27">
        <f t="shared" si="4"/>
        <v>273684</v>
      </c>
      <c r="I103" s="34">
        <v>4</v>
      </c>
      <c r="J103" s="34">
        <v>6111718</v>
      </c>
      <c r="K103" s="34" t="s">
        <v>73</v>
      </c>
      <c r="L103" s="34">
        <v>10</v>
      </c>
      <c r="M103" s="34">
        <v>1344</v>
      </c>
      <c r="N103" s="34">
        <v>1980</v>
      </c>
      <c r="O103" s="34">
        <v>14</v>
      </c>
      <c r="P103" s="35">
        <f>(F103+G103)/E103</f>
        <v>0.99160869565217391</v>
      </c>
      <c r="Q103" s="34">
        <v>3</v>
      </c>
      <c r="R103" s="1">
        <f t="shared" si="5"/>
        <v>1.0053539130434783</v>
      </c>
      <c r="S103" s="1">
        <f t="shared" si="6"/>
        <v>1.0053539130434783</v>
      </c>
      <c r="V103" s="36"/>
    </row>
    <row r="104" spans="1:22" x14ac:dyDescent="0.25">
      <c r="A104" s="34" t="s">
        <v>278</v>
      </c>
      <c r="B104" s="34" t="s">
        <v>279</v>
      </c>
      <c r="C104" s="34">
        <v>45414</v>
      </c>
      <c r="D104" s="34">
        <v>240000</v>
      </c>
      <c r="E104" s="34">
        <v>228550</v>
      </c>
      <c r="F104" s="34">
        <v>35750</v>
      </c>
      <c r="G104" s="34">
        <v>191891</v>
      </c>
      <c r="H104" s="27">
        <f t="shared" si="4"/>
        <v>227641</v>
      </c>
      <c r="I104" s="34">
        <v>1</v>
      </c>
      <c r="J104" s="34">
        <v>5133573</v>
      </c>
      <c r="K104" s="34" t="s">
        <v>137</v>
      </c>
      <c r="L104" s="34">
        <v>2.5</v>
      </c>
      <c r="M104" s="34">
        <v>1472</v>
      </c>
      <c r="N104" s="34">
        <v>2002</v>
      </c>
      <c r="O104" s="34">
        <v>9</v>
      </c>
      <c r="P104" s="35">
        <f>(F104+G104)/E104</f>
        <v>0.9960227521330125</v>
      </c>
      <c r="Q104" s="34">
        <v>2.5</v>
      </c>
      <c r="R104" s="1">
        <f t="shared" si="5"/>
        <v>1.012814788886458</v>
      </c>
      <c r="S104" s="1">
        <f t="shared" si="6"/>
        <v>1.012814788886458</v>
      </c>
      <c r="V104" s="36"/>
    </row>
    <row r="105" spans="1:22" x14ac:dyDescent="0.25">
      <c r="A105" s="34" t="s">
        <v>280</v>
      </c>
      <c r="B105" s="34" t="s">
        <v>281</v>
      </c>
      <c r="C105" s="34">
        <v>45622</v>
      </c>
      <c r="D105" s="34">
        <v>275000</v>
      </c>
      <c r="E105" s="34">
        <v>269000</v>
      </c>
      <c r="F105" s="34">
        <v>45086</v>
      </c>
      <c r="G105" s="34">
        <v>223133</v>
      </c>
      <c r="H105" s="27">
        <f t="shared" si="4"/>
        <v>268219</v>
      </c>
      <c r="I105" s="34">
        <v>1</v>
      </c>
      <c r="J105" s="34">
        <v>2173157</v>
      </c>
      <c r="K105" s="34" t="s">
        <v>43</v>
      </c>
      <c r="L105" s="34">
        <v>0.26</v>
      </c>
      <c r="M105" s="34">
        <v>1878</v>
      </c>
      <c r="N105" s="34">
        <v>1943</v>
      </c>
      <c r="O105" s="34">
        <v>20</v>
      </c>
      <c r="P105" s="35">
        <f>(F105+G105)/E105</f>
        <v>0.99709665427509298</v>
      </c>
      <c r="Q105" s="34">
        <v>3</v>
      </c>
      <c r="R105" s="1">
        <f t="shared" si="5"/>
        <v>1.013686468401487</v>
      </c>
      <c r="S105" s="1">
        <f t="shared" si="6"/>
        <v>1.013686468401487</v>
      </c>
      <c r="V105" s="36"/>
    </row>
    <row r="106" spans="1:22" x14ac:dyDescent="0.25">
      <c r="A106" s="34" t="s">
        <v>282</v>
      </c>
      <c r="B106" s="34" t="s">
        <v>283</v>
      </c>
      <c r="C106" s="34">
        <v>45363</v>
      </c>
      <c r="D106" s="34">
        <v>739000</v>
      </c>
      <c r="E106" s="34">
        <v>739000</v>
      </c>
      <c r="F106" s="34">
        <v>93763</v>
      </c>
      <c r="G106" s="34">
        <v>644092</v>
      </c>
      <c r="H106" s="27">
        <f t="shared" si="4"/>
        <v>737855</v>
      </c>
      <c r="I106" s="34">
        <v>2</v>
      </c>
      <c r="J106" s="34">
        <v>6353515</v>
      </c>
      <c r="K106" s="34" t="s">
        <v>55</v>
      </c>
      <c r="L106" s="34">
        <v>0.45</v>
      </c>
      <c r="M106" s="34">
        <v>3907</v>
      </c>
      <c r="N106" s="34">
        <v>2011</v>
      </c>
      <c r="O106" s="34">
        <v>6</v>
      </c>
      <c r="P106" s="35">
        <f>(F106+G106)/E106</f>
        <v>0.9984506089309878</v>
      </c>
      <c r="Q106" s="34">
        <v>4</v>
      </c>
      <c r="R106" s="1">
        <f t="shared" si="5"/>
        <v>1.0158820568335589</v>
      </c>
      <c r="S106" s="1">
        <f t="shared" si="6"/>
        <v>1.0071663328822733</v>
      </c>
      <c r="V106" s="36"/>
    </row>
    <row r="107" spans="1:22" x14ac:dyDescent="0.25">
      <c r="A107" s="34" t="s">
        <v>284</v>
      </c>
      <c r="B107" s="34" t="s">
        <v>285</v>
      </c>
      <c r="C107" s="34">
        <v>45443</v>
      </c>
      <c r="D107" s="34">
        <v>200000</v>
      </c>
      <c r="E107" s="34">
        <v>200000</v>
      </c>
      <c r="F107" s="34">
        <v>57175</v>
      </c>
      <c r="G107" s="34">
        <v>163209</v>
      </c>
      <c r="H107" s="27">
        <f t="shared" si="4"/>
        <v>220384</v>
      </c>
      <c r="I107" s="34">
        <v>2</v>
      </c>
      <c r="J107" s="34">
        <v>5353510</v>
      </c>
      <c r="K107" s="34" t="s">
        <v>55</v>
      </c>
      <c r="L107" s="34">
        <v>0.26</v>
      </c>
      <c r="M107" s="34">
        <v>1196</v>
      </c>
      <c r="N107" s="34">
        <v>1997</v>
      </c>
      <c r="O107" s="34">
        <v>11</v>
      </c>
      <c r="P107" s="35">
        <f>(F107+G107)/E107</f>
        <v>1.10192</v>
      </c>
      <c r="Q107" s="34">
        <v>3</v>
      </c>
      <c r="R107" s="1">
        <f t="shared" si="5"/>
        <v>1.1182409</v>
      </c>
      <c r="S107" s="1">
        <f t="shared" si="6"/>
        <v>1.1182409</v>
      </c>
      <c r="V107" s="36"/>
    </row>
    <row r="108" spans="1:22" x14ac:dyDescent="0.25">
      <c r="A108" s="34" t="s">
        <v>286</v>
      </c>
      <c r="B108" s="34" t="s">
        <v>287</v>
      </c>
      <c r="C108" s="34">
        <v>45572</v>
      </c>
      <c r="D108" s="34">
        <v>70000</v>
      </c>
      <c r="E108" s="34">
        <v>70000</v>
      </c>
      <c r="F108" s="34">
        <v>32000</v>
      </c>
      <c r="G108" s="34">
        <v>38020</v>
      </c>
      <c r="H108" s="27">
        <f t="shared" si="4"/>
        <v>70020</v>
      </c>
      <c r="I108" s="34">
        <v>3</v>
      </c>
      <c r="J108" s="34">
        <v>7111517</v>
      </c>
      <c r="K108" s="34" t="s">
        <v>288</v>
      </c>
      <c r="L108" s="34">
        <v>5</v>
      </c>
      <c r="M108" s="34">
        <v>986</v>
      </c>
      <c r="N108" s="34">
        <v>1997</v>
      </c>
      <c r="O108" s="34">
        <v>28</v>
      </c>
      <c r="P108" s="35">
        <f>(F108+G108)/E108</f>
        <v>1.0002857142857142</v>
      </c>
      <c r="Q108" s="34">
        <v>3</v>
      </c>
      <c r="R108" s="1">
        <f t="shared" si="5"/>
        <v>1.0111485714285713</v>
      </c>
      <c r="S108" s="1">
        <f t="shared" si="6"/>
        <v>1.0111485714285713</v>
      </c>
      <c r="V108" s="36"/>
    </row>
    <row r="109" spans="1:22" x14ac:dyDescent="0.25">
      <c r="A109" s="34" t="s">
        <v>289</v>
      </c>
      <c r="B109" s="34" t="s">
        <v>290</v>
      </c>
      <c r="C109" s="34">
        <v>45443</v>
      </c>
      <c r="D109" s="34">
        <v>429900</v>
      </c>
      <c r="E109" s="34">
        <v>424900</v>
      </c>
      <c r="F109" s="34">
        <v>77000</v>
      </c>
      <c r="G109" s="34">
        <v>348654</v>
      </c>
      <c r="H109" s="27">
        <f t="shared" si="4"/>
        <v>425654</v>
      </c>
      <c r="I109" s="34">
        <v>2</v>
      </c>
      <c r="J109" s="34">
        <v>7172516</v>
      </c>
      <c r="K109" s="34" t="s">
        <v>78</v>
      </c>
      <c r="L109" s="34">
        <v>1.03</v>
      </c>
      <c r="M109" s="34">
        <v>1994</v>
      </c>
      <c r="N109" s="34">
        <v>2011</v>
      </c>
      <c r="O109" s="34">
        <v>6</v>
      </c>
      <c r="P109" s="35">
        <f>(F109+G109)/E109</f>
        <v>1.0017745351847493</v>
      </c>
      <c r="Q109" s="34">
        <v>3.5</v>
      </c>
      <c r="R109" s="1">
        <f t="shared" si="5"/>
        <v>1.0181856436808661</v>
      </c>
      <c r="S109" s="1">
        <f t="shared" si="6"/>
        <v>1.0017745351847493</v>
      </c>
      <c r="V109" s="36"/>
    </row>
    <row r="110" spans="1:22" x14ac:dyDescent="0.25">
      <c r="A110" s="34" t="s">
        <v>291</v>
      </c>
      <c r="B110" s="34" t="s">
        <v>292</v>
      </c>
      <c r="C110" s="34">
        <v>45586</v>
      </c>
      <c r="D110" s="34">
        <v>247000</v>
      </c>
      <c r="E110" s="34">
        <v>247000</v>
      </c>
      <c r="F110" s="34">
        <v>55400</v>
      </c>
      <c r="G110" s="34">
        <v>192091</v>
      </c>
      <c r="H110" s="27">
        <f t="shared" si="4"/>
        <v>247491</v>
      </c>
      <c r="I110" s="34">
        <v>2</v>
      </c>
      <c r="J110" s="34">
        <v>6353510</v>
      </c>
      <c r="K110" s="34" t="s">
        <v>55</v>
      </c>
      <c r="L110" s="34">
        <v>0.24</v>
      </c>
      <c r="M110" s="34">
        <v>1350</v>
      </c>
      <c r="N110" s="34">
        <v>1953</v>
      </c>
      <c r="O110" s="34">
        <v>19</v>
      </c>
      <c r="P110" s="35">
        <f>(F110+G110)/E110</f>
        <v>1.0019878542510121</v>
      </c>
      <c r="Q110" s="34">
        <v>3</v>
      </c>
      <c r="R110" s="1">
        <f t="shared" si="5"/>
        <v>1.0175417813765182</v>
      </c>
      <c r="S110" s="1">
        <f t="shared" si="6"/>
        <v>1.0175417813765182</v>
      </c>
      <c r="V110" s="36"/>
    </row>
    <row r="111" spans="1:22" x14ac:dyDescent="0.25">
      <c r="A111" s="34" t="s">
        <v>293</v>
      </c>
      <c r="B111" s="34" t="s">
        <v>294</v>
      </c>
      <c r="C111" s="34">
        <v>45497</v>
      </c>
      <c r="D111" s="34">
        <v>330000</v>
      </c>
      <c r="E111" s="34">
        <v>330000</v>
      </c>
      <c r="F111" s="34">
        <v>74396</v>
      </c>
      <c r="G111" s="34">
        <v>257577</v>
      </c>
      <c r="H111" s="27">
        <f t="shared" si="4"/>
        <v>331973</v>
      </c>
      <c r="I111" s="34">
        <v>3</v>
      </c>
      <c r="J111" s="34">
        <v>1211575</v>
      </c>
      <c r="K111" s="34" t="s">
        <v>25</v>
      </c>
      <c r="L111" s="34">
        <v>5.18</v>
      </c>
      <c r="M111" s="34">
        <v>1521</v>
      </c>
      <c r="N111" s="34">
        <v>2008</v>
      </c>
      <c r="O111" s="34">
        <v>7</v>
      </c>
      <c r="P111" s="35">
        <f>(F111+G111)/E111</f>
        <v>1.0059787878787878</v>
      </c>
      <c r="Q111" s="34">
        <v>3.5</v>
      </c>
      <c r="R111" s="1">
        <f t="shared" si="5"/>
        <v>1.0215895151515151</v>
      </c>
      <c r="S111" s="1">
        <f t="shared" si="6"/>
        <v>1.0215895151515151</v>
      </c>
      <c r="V111" s="36"/>
    </row>
    <row r="112" spans="1:22" x14ac:dyDescent="0.25">
      <c r="A112" s="34" t="s">
        <v>295</v>
      </c>
      <c r="B112" s="34" t="s">
        <v>296</v>
      </c>
      <c r="C112" s="34">
        <v>45432</v>
      </c>
      <c r="D112" s="34">
        <v>175000</v>
      </c>
      <c r="E112" s="34">
        <v>175000</v>
      </c>
      <c r="F112" s="34">
        <v>89000</v>
      </c>
      <c r="G112" s="34">
        <v>75987</v>
      </c>
      <c r="H112" s="27">
        <f t="shared" si="4"/>
        <v>164987</v>
      </c>
      <c r="I112" s="34">
        <v>3</v>
      </c>
      <c r="J112" s="34">
        <v>6322246</v>
      </c>
      <c r="K112" s="34" t="s">
        <v>91</v>
      </c>
      <c r="L112" s="34">
        <v>10</v>
      </c>
      <c r="M112" s="34">
        <v>704</v>
      </c>
      <c r="N112" s="34">
        <v>1960</v>
      </c>
      <c r="O112" s="34">
        <v>26</v>
      </c>
      <c r="P112" s="35">
        <f>(F112+G112)/E112</f>
        <v>0.94278285714285714</v>
      </c>
      <c r="Q112" s="34">
        <v>3</v>
      </c>
      <c r="R112" s="1">
        <f t="shared" si="5"/>
        <v>0.95146708571428562</v>
      </c>
      <c r="S112" s="1">
        <f t="shared" si="6"/>
        <v>0.95146708571428562</v>
      </c>
      <c r="V112" s="36"/>
    </row>
    <row r="113" spans="1:22" x14ac:dyDescent="0.25">
      <c r="A113" s="34" t="s">
        <v>297</v>
      </c>
      <c r="B113" s="34" t="s">
        <v>298</v>
      </c>
      <c r="C113" s="34">
        <v>45517</v>
      </c>
      <c r="D113" s="34">
        <v>205000</v>
      </c>
      <c r="E113" s="34">
        <v>205000</v>
      </c>
      <c r="F113" s="34">
        <v>64000</v>
      </c>
      <c r="G113" s="34">
        <v>168027</v>
      </c>
      <c r="H113" s="27">
        <f t="shared" si="4"/>
        <v>232027</v>
      </c>
      <c r="I113" s="34">
        <v>2</v>
      </c>
      <c r="J113" s="34">
        <v>6353510</v>
      </c>
      <c r="K113" s="34" t="s">
        <v>55</v>
      </c>
      <c r="L113" s="34">
        <v>0.65</v>
      </c>
      <c r="M113" s="34">
        <v>1246</v>
      </c>
      <c r="N113" s="34">
        <v>2005</v>
      </c>
      <c r="O113" s="34">
        <v>8</v>
      </c>
      <c r="P113" s="35">
        <f>(F113+G113)/E113</f>
        <v>1.1318390243902439</v>
      </c>
      <c r="Q113" s="34">
        <v>3</v>
      </c>
      <c r="R113" s="1">
        <f t="shared" si="5"/>
        <v>1.1482319024390244</v>
      </c>
      <c r="S113" s="1">
        <f t="shared" si="6"/>
        <v>1.1482319024390244</v>
      </c>
      <c r="V113" s="36"/>
    </row>
    <row r="114" spans="1:22" x14ac:dyDescent="0.25">
      <c r="A114" s="34" t="s">
        <v>299</v>
      </c>
      <c r="B114" s="34" t="s">
        <v>300</v>
      </c>
      <c r="C114" s="34">
        <v>45357</v>
      </c>
      <c r="D114" s="34">
        <v>535000</v>
      </c>
      <c r="E114" s="34">
        <v>527500</v>
      </c>
      <c r="F114" s="34">
        <v>77000</v>
      </c>
      <c r="G114" s="34">
        <v>457150</v>
      </c>
      <c r="H114" s="27">
        <f t="shared" si="4"/>
        <v>534150</v>
      </c>
      <c r="I114" s="34">
        <v>2</v>
      </c>
      <c r="J114" s="34">
        <v>7172516</v>
      </c>
      <c r="K114" s="34" t="s">
        <v>78</v>
      </c>
      <c r="L114" s="34">
        <v>1.03</v>
      </c>
      <c r="M114" s="34">
        <v>2477</v>
      </c>
      <c r="N114" s="34">
        <v>2013</v>
      </c>
      <c r="O114" s="34">
        <v>5</v>
      </c>
      <c r="P114" s="35">
        <f>(F114+G114)/E114</f>
        <v>1.0126066350710901</v>
      </c>
      <c r="Q114" s="34">
        <v>4</v>
      </c>
      <c r="R114" s="1">
        <f t="shared" si="5"/>
        <v>1.029939336492891</v>
      </c>
      <c r="S114" s="1">
        <f t="shared" si="6"/>
        <v>1.0126066350710901</v>
      </c>
      <c r="V114" s="36"/>
    </row>
    <row r="115" spans="1:22" x14ac:dyDescent="0.25">
      <c r="A115" s="34" t="s">
        <v>301</v>
      </c>
      <c r="B115" s="34" t="s">
        <v>302</v>
      </c>
      <c r="C115" s="34">
        <v>45574</v>
      </c>
      <c r="D115" s="34">
        <v>495000</v>
      </c>
      <c r="E115" s="34">
        <v>495000</v>
      </c>
      <c r="F115" s="34">
        <v>39650</v>
      </c>
      <c r="G115" s="34">
        <v>423633</v>
      </c>
      <c r="H115" s="27">
        <f t="shared" si="4"/>
        <v>463283</v>
      </c>
      <c r="I115" s="34">
        <v>4</v>
      </c>
      <c r="J115" s="34">
        <v>5172568</v>
      </c>
      <c r="K115" s="34" t="s">
        <v>110</v>
      </c>
      <c r="L115" s="34">
        <v>2.13</v>
      </c>
      <c r="M115" s="34">
        <v>3976</v>
      </c>
      <c r="N115" s="34">
        <v>2007</v>
      </c>
      <c r="O115" s="34">
        <v>7</v>
      </c>
      <c r="P115" s="35">
        <f>(F115+G115)/E115</f>
        <v>0.93592525252525249</v>
      </c>
      <c r="Q115" s="34">
        <v>3</v>
      </c>
      <c r="R115" s="1">
        <f t="shared" si="5"/>
        <v>0.95304173737373743</v>
      </c>
      <c r="S115" s="1">
        <f t="shared" si="6"/>
        <v>0.93592525252525249</v>
      </c>
      <c r="V115" s="36"/>
    </row>
    <row r="116" spans="1:22" x14ac:dyDescent="0.25">
      <c r="A116" s="34" t="s">
        <v>303</v>
      </c>
      <c r="B116" s="34" t="s">
        <v>304</v>
      </c>
      <c r="C116" s="34">
        <v>45320</v>
      </c>
      <c r="D116" s="34">
        <v>412000</v>
      </c>
      <c r="E116" s="34">
        <v>412000</v>
      </c>
      <c r="F116" s="34">
        <v>99400</v>
      </c>
      <c r="G116" s="34">
        <v>320278</v>
      </c>
      <c r="H116" s="27">
        <f t="shared" si="4"/>
        <v>419678</v>
      </c>
      <c r="I116" s="34">
        <v>2</v>
      </c>
      <c r="J116" s="34">
        <v>6353515</v>
      </c>
      <c r="K116" s="34" t="s">
        <v>55</v>
      </c>
      <c r="L116" s="34">
        <v>0.56000000000000005</v>
      </c>
      <c r="M116" s="34">
        <v>2935</v>
      </c>
      <c r="N116" s="34">
        <v>2008</v>
      </c>
      <c r="O116" s="34">
        <v>7</v>
      </c>
      <c r="P116" s="35">
        <f>(F116+G116)/E116</f>
        <v>1.0186359223300971</v>
      </c>
      <c r="Q116" s="34">
        <v>4</v>
      </c>
      <c r="R116" s="1">
        <f t="shared" si="5"/>
        <v>1.0341833980582524</v>
      </c>
      <c r="S116" s="1">
        <f t="shared" si="6"/>
        <v>1.0186359223300971</v>
      </c>
      <c r="V116" s="36"/>
    </row>
    <row r="117" spans="1:22" x14ac:dyDescent="0.25">
      <c r="A117" s="34" t="s">
        <v>305</v>
      </c>
      <c r="B117" s="34" t="s">
        <v>306</v>
      </c>
      <c r="C117" s="34">
        <v>45394</v>
      </c>
      <c r="D117" s="34">
        <v>410000</v>
      </c>
      <c r="E117" s="34">
        <v>397700</v>
      </c>
      <c r="F117" s="34">
        <v>61700</v>
      </c>
      <c r="G117" s="34">
        <v>343754</v>
      </c>
      <c r="H117" s="27">
        <f t="shared" si="4"/>
        <v>405454</v>
      </c>
      <c r="I117" s="34">
        <v>2</v>
      </c>
      <c r="J117" s="34">
        <v>6353515</v>
      </c>
      <c r="K117" s="34" t="s">
        <v>55</v>
      </c>
      <c r="L117" s="34">
        <v>0.2</v>
      </c>
      <c r="M117" s="34">
        <v>1248</v>
      </c>
      <c r="N117" s="34">
        <v>2007</v>
      </c>
      <c r="O117" s="34">
        <v>7</v>
      </c>
      <c r="P117" s="35">
        <f>(F117+G117)/E117</f>
        <v>1.0194971083731457</v>
      </c>
      <c r="Q117" s="34">
        <v>3.5</v>
      </c>
      <c r="R117" s="1">
        <f t="shared" si="5"/>
        <v>1.0367842092029169</v>
      </c>
      <c r="S117" s="1">
        <f t="shared" si="6"/>
        <v>1.0194971083731457</v>
      </c>
      <c r="V117" s="36"/>
    </row>
    <row r="118" spans="1:22" x14ac:dyDescent="0.25">
      <c r="A118" s="34" t="s">
        <v>307</v>
      </c>
      <c r="B118" s="34" t="s">
        <v>308</v>
      </c>
      <c r="C118" s="34">
        <v>45593</v>
      </c>
      <c r="D118" s="34">
        <v>443170</v>
      </c>
      <c r="E118" s="34">
        <v>430000</v>
      </c>
      <c r="F118" s="34">
        <v>76688</v>
      </c>
      <c r="G118" s="34">
        <v>362242</v>
      </c>
      <c r="H118" s="27">
        <f t="shared" si="4"/>
        <v>438930</v>
      </c>
      <c r="I118" s="34">
        <v>2</v>
      </c>
      <c r="J118" s="34">
        <v>3211518</v>
      </c>
      <c r="K118" s="34" t="s">
        <v>78</v>
      </c>
      <c r="L118" s="34">
        <v>2.81</v>
      </c>
      <c r="M118" s="34">
        <v>2005</v>
      </c>
      <c r="N118" s="34">
        <v>1975</v>
      </c>
      <c r="O118" s="34">
        <v>20</v>
      </c>
      <c r="P118" s="35">
        <f>(F118+G118)/E118</f>
        <v>1.0207674418604651</v>
      </c>
      <c r="Q118" s="34">
        <v>3.5</v>
      </c>
      <c r="R118" s="1">
        <f t="shared" si="5"/>
        <v>1.0376159069767443</v>
      </c>
      <c r="S118" s="1">
        <f t="shared" si="6"/>
        <v>1.0207674418604651</v>
      </c>
      <c r="V118" s="36"/>
    </row>
    <row r="119" spans="1:22" x14ac:dyDescent="0.25">
      <c r="A119" s="34" t="s">
        <v>309</v>
      </c>
      <c r="B119" s="34" t="s">
        <v>310</v>
      </c>
      <c r="C119" s="34">
        <v>45547</v>
      </c>
      <c r="D119" s="34">
        <v>230000</v>
      </c>
      <c r="E119" s="34">
        <v>230000</v>
      </c>
      <c r="F119" s="34">
        <v>74000</v>
      </c>
      <c r="G119" s="34">
        <v>145452</v>
      </c>
      <c r="H119" s="27">
        <f t="shared" si="4"/>
        <v>219452</v>
      </c>
      <c r="I119" s="34">
        <v>3</v>
      </c>
      <c r="J119" s="34">
        <v>1211575</v>
      </c>
      <c r="K119" s="34" t="s">
        <v>25</v>
      </c>
      <c r="L119" s="34">
        <v>5</v>
      </c>
      <c r="M119" s="34">
        <v>1260</v>
      </c>
      <c r="N119" s="34">
        <v>1996</v>
      </c>
      <c r="O119" s="34">
        <v>11</v>
      </c>
      <c r="P119" s="35">
        <f>(F119+G119)/E119</f>
        <v>0.9541391304347826</v>
      </c>
      <c r="Q119" s="34">
        <v>3</v>
      </c>
      <c r="R119" s="1">
        <f t="shared" si="5"/>
        <v>0.96678713043478259</v>
      </c>
      <c r="S119" s="1">
        <f t="shared" si="6"/>
        <v>0.96678713043478259</v>
      </c>
      <c r="V119" s="36"/>
    </row>
    <row r="120" spans="1:22" x14ac:dyDescent="0.25">
      <c r="A120" s="34" t="s">
        <v>311</v>
      </c>
      <c r="B120" s="34" t="s">
        <v>312</v>
      </c>
      <c r="C120" s="34">
        <v>45581</v>
      </c>
      <c r="D120" s="34">
        <v>375000</v>
      </c>
      <c r="E120" s="34">
        <v>355000</v>
      </c>
      <c r="F120" s="34">
        <v>91688</v>
      </c>
      <c r="G120" s="34">
        <v>235064</v>
      </c>
      <c r="H120" s="27">
        <f t="shared" si="4"/>
        <v>326752</v>
      </c>
      <c r="I120" s="34">
        <v>3</v>
      </c>
      <c r="J120" s="34">
        <v>6322246</v>
      </c>
      <c r="K120" s="34" t="s">
        <v>91</v>
      </c>
      <c r="L120" s="34">
        <v>11.68</v>
      </c>
      <c r="M120" s="34">
        <v>1620</v>
      </c>
      <c r="N120" s="34">
        <v>1980</v>
      </c>
      <c r="O120" s="34">
        <v>18</v>
      </c>
      <c r="P120" s="35">
        <f>(F120+G120)/E120</f>
        <v>0.92042816901408453</v>
      </c>
      <c r="Q120" s="34">
        <v>3</v>
      </c>
      <c r="R120" s="1">
        <f t="shared" si="5"/>
        <v>0.93367121126760566</v>
      </c>
      <c r="S120" s="1">
        <f t="shared" si="6"/>
        <v>0.93367121126760566</v>
      </c>
      <c r="V120" s="36"/>
    </row>
    <row r="121" spans="1:22" x14ac:dyDescent="0.25">
      <c r="A121" s="34" t="s">
        <v>313</v>
      </c>
      <c r="B121" s="34" t="s">
        <v>314</v>
      </c>
      <c r="C121" s="34">
        <v>45399</v>
      </c>
      <c r="D121" s="34">
        <v>185250</v>
      </c>
      <c r="E121" s="34">
        <v>185250</v>
      </c>
      <c r="F121" s="34">
        <v>26775</v>
      </c>
      <c r="G121" s="34">
        <v>192322</v>
      </c>
      <c r="H121" s="27">
        <f t="shared" si="4"/>
        <v>219097</v>
      </c>
      <c r="I121" s="34">
        <v>1</v>
      </c>
      <c r="J121" s="34">
        <v>5191758</v>
      </c>
      <c r="K121" s="34" t="s">
        <v>51</v>
      </c>
      <c r="L121" s="34">
        <v>0.17</v>
      </c>
      <c r="M121" s="34">
        <v>1232</v>
      </c>
      <c r="N121" s="34">
        <v>1973</v>
      </c>
      <c r="O121" s="34">
        <v>20</v>
      </c>
      <c r="P121" s="35">
        <f>(F121+G121)/E121</f>
        <v>1.1827098515519567</v>
      </c>
      <c r="Q121" s="34">
        <v>3</v>
      </c>
      <c r="R121" s="1">
        <f t="shared" si="5"/>
        <v>1.2034733603238867</v>
      </c>
      <c r="S121" s="1">
        <f t="shared" si="6"/>
        <v>1.2034733603238867</v>
      </c>
      <c r="V121" s="36"/>
    </row>
    <row r="122" spans="1:22" x14ac:dyDescent="0.25">
      <c r="A122" s="34" t="s">
        <v>315</v>
      </c>
      <c r="B122" s="34" t="s">
        <v>316</v>
      </c>
      <c r="C122" s="34">
        <v>45397</v>
      </c>
      <c r="D122" s="34">
        <v>345000</v>
      </c>
      <c r="E122" s="34">
        <v>340000</v>
      </c>
      <c r="F122" s="34">
        <v>63930</v>
      </c>
      <c r="G122" s="34">
        <v>289675</v>
      </c>
      <c r="H122" s="27">
        <f t="shared" si="4"/>
        <v>353605</v>
      </c>
      <c r="I122" s="34">
        <v>1</v>
      </c>
      <c r="J122" s="34">
        <v>2173157</v>
      </c>
      <c r="K122" s="34" t="s">
        <v>43</v>
      </c>
      <c r="L122" s="34">
        <v>1.23</v>
      </c>
      <c r="M122" s="34">
        <v>1926</v>
      </c>
      <c r="N122" s="34">
        <v>2009</v>
      </c>
      <c r="O122" s="34">
        <v>6</v>
      </c>
      <c r="P122" s="35">
        <f>(F122+G122)/E122</f>
        <v>1.040014705882353</v>
      </c>
      <c r="Q122" s="34">
        <v>3</v>
      </c>
      <c r="R122" s="1">
        <f t="shared" si="5"/>
        <v>1.0570544117647058</v>
      </c>
      <c r="S122" s="1">
        <f t="shared" si="6"/>
        <v>1.0570544117647058</v>
      </c>
      <c r="V122" s="36"/>
    </row>
    <row r="123" spans="1:22" x14ac:dyDescent="0.25">
      <c r="A123" s="34" t="s">
        <v>317</v>
      </c>
      <c r="B123" s="34" t="s">
        <v>318</v>
      </c>
      <c r="C123" s="34">
        <v>45643</v>
      </c>
      <c r="D123" s="34">
        <v>410000</v>
      </c>
      <c r="E123" s="34">
        <v>400000</v>
      </c>
      <c r="F123" s="34">
        <v>62075</v>
      </c>
      <c r="G123" s="34">
        <v>381001</v>
      </c>
      <c r="H123" s="27">
        <f t="shared" si="4"/>
        <v>443076</v>
      </c>
      <c r="I123" s="34">
        <v>2</v>
      </c>
      <c r="J123" s="34">
        <v>6353510</v>
      </c>
      <c r="K123" s="34" t="s">
        <v>55</v>
      </c>
      <c r="L123" s="34">
        <v>0.54</v>
      </c>
      <c r="M123" s="34">
        <v>2097</v>
      </c>
      <c r="N123" s="34">
        <v>1975</v>
      </c>
      <c r="O123" s="34">
        <v>20</v>
      </c>
      <c r="P123" s="35">
        <f>(F123+G123)/E123</f>
        <v>1.1076900000000001</v>
      </c>
      <c r="Q123" s="34">
        <v>3</v>
      </c>
      <c r="R123" s="1">
        <f t="shared" si="5"/>
        <v>1.12674005</v>
      </c>
      <c r="S123" s="1">
        <f t="shared" si="6"/>
        <v>1.1076900000000001</v>
      </c>
      <c r="V123" s="36"/>
    </row>
    <row r="124" spans="1:22" x14ac:dyDescent="0.25">
      <c r="A124" s="34" t="s">
        <v>319</v>
      </c>
      <c r="B124" s="34" t="s">
        <v>320</v>
      </c>
      <c r="C124" s="34">
        <v>45450</v>
      </c>
      <c r="D124" s="34">
        <v>490000</v>
      </c>
      <c r="E124" s="34">
        <v>490000</v>
      </c>
      <c r="F124" s="34">
        <v>77000</v>
      </c>
      <c r="G124" s="34">
        <v>441071</v>
      </c>
      <c r="H124" s="27">
        <f t="shared" si="4"/>
        <v>518071</v>
      </c>
      <c r="I124" s="34">
        <v>2</v>
      </c>
      <c r="J124" s="34">
        <v>7172516</v>
      </c>
      <c r="K124" s="34" t="s">
        <v>78</v>
      </c>
      <c r="L124" s="34">
        <v>1.04</v>
      </c>
      <c r="M124" s="34">
        <v>2437</v>
      </c>
      <c r="N124" s="34">
        <v>2007</v>
      </c>
      <c r="O124" s="34">
        <v>7</v>
      </c>
      <c r="P124" s="35">
        <f>(F124+G124)/E124</f>
        <v>1.0572877551020408</v>
      </c>
      <c r="Q124" s="34">
        <v>3</v>
      </c>
      <c r="R124" s="1">
        <f t="shared" si="5"/>
        <v>1.0752906530612243</v>
      </c>
      <c r="S124" s="1">
        <f t="shared" si="6"/>
        <v>1.0572877551020408</v>
      </c>
      <c r="V124" s="36"/>
    </row>
    <row r="125" spans="1:22" x14ac:dyDescent="0.25">
      <c r="A125" s="34" t="s">
        <v>321</v>
      </c>
      <c r="B125" s="34" t="s">
        <v>322</v>
      </c>
      <c r="C125" s="34">
        <v>45341</v>
      </c>
      <c r="D125" s="34">
        <v>499000</v>
      </c>
      <c r="E125" s="34">
        <v>499000</v>
      </c>
      <c r="F125" s="34">
        <v>89878</v>
      </c>
      <c r="G125" s="34">
        <v>438969</v>
      </c>
      <c r="H125" s="27">
        <f t="shared" si="4"/>
        <v>528847</v>
      </c>
      <c r="I125" s="34">
        <v>2</v>
      </c>
      <c r="J125" s="34">
        <v>6353515</v>
      </c>
      <c r="K125" s="34" t="s">
        <v>55</v>
      </c>
      <c r="L125" s="34">
        <v>0.39</v>
      </c>
      <c r="M125" s="34">
        <v>2450</v>
      </c>
      <c r="N125" s="34">
        <v>2008</v>
      </c>
      <c r="O125" s="34">
        <v>0</v>
      </c>
      <c r="P125" s="35">
        <f>(F125+G125)/E125</f>
        <v>1.0598136272545091</v>
      </c>
      <c r="Q125" s="34">
        <v>3</v>
      </c>
      <c r="R125" s="1">
        <f t="shared" si="5"/>
        <v>1.0774075751503005</v>
      </c>
      <c r="S125" s="1">
        <f t="shared" si="6"/>
        <v>1.0598136272545091</v>
      </c>
      <c r="V125" s="36"/>
    </row>
    <row r="126" spans="1:22" x14ac:dyDescent="0.25">
      <c r="A126" s="34" t="s">
        <v>323</v>
      </c>
      <c r="B126" s="34" t="s">
        <v>324</v>
      </c>
      <c r="C126" s="34">
        <v>45468</v>
      </c>
      <c r="D126" s="34">
        <v>395000</v>
      </c>
      <c r="E126" s="34">
        <v>383000</v>
      </c>
      <c r="F126" s="34">
        <v>54492</v>
      </c>
      <c r="G126" s="34">
        <v>352899</v>
      </c>
      <c r="H126" s="27">
        <f t="shared" si="4"/>
        <v>407391</v>
      </c>
      <c r="I126" s="34">
        <v>2</v>
      </c>
      <c r="J126" s="34">
        <v>6353519</v>
      </c>
      <c r="K126" s="34" t="s">
        <v>55</v>
      </c>
      <c r="L126" s="34">
        <v>0.2</v>
      </c>
      <c r="M126" s="34">
        <v>1617</v>
      </c>
      <c r="N126" s="34">
        <v>2012</v>
      </c>
      <c r="O126" s="34">
        <v>5</v>
      </c>
      <c r="P126" s="35">
        <f>(F126+G126)/E126</f>
        <v>1.0636840731070496</v>
      </c>
      <c r="Q126" s="34">
        <v>3</v>
      </c>
      <c r="R126" s="1">
        <f t="shared" si="5"/>
        <v>1.0821122193211488</v>
      </c>
      <c r="S126" s="1">
        <f t="shared" si="6"/>
        <v>1.0636840731070496</v>
      </c>
      <c r="V126" s="36"/>
    </row>
    <row r="127" spans="1:22" x14ac:dyDescent="0.25">
      <c r="A127" s="34" t="s">
        <v>325</v>
      </c>
      <c r="B127" s="34" t="s">
        <v>326</v>
      </c>
      <c r="C127" s="34">
        <v>45457</v>
      </c>
      <c r="D127" s="34">
        <v>279500</v>
      </c>
      <c r="E127" s="34">
        <v>271115</v>
      </c>
      <c r="F127" s="34">
        <v>58050</v>
      </c>
      <c r="G127" s="34">
        <v>253499</v>
      </c>
      <c r="H127" s="27">
        <f t="shared" ref="H127:H131" si="7">F127+G127</f>
        <v>311549</v>
      </c>
      <c r="I127" s="34">
        <v>2</v>
      </c>
      <c r="J127" s="34">
        <v>6353510</v>
      </c>
      <c r="K127" s="34" t="s">
        <v>55</v>
      </c>
      <c r="L127" s="34">
        <v>0.31</v>
      </c>
      <c r="M127" s="34">
        <v>1734</v>
      </c>
      <c r="N127" s="34">
        <v>1976</v>
      </c>
      <c r="O127" s="34">
        <v>19</v>
      </c>
      <c r="P127" s="35">
        <f>(F127+G127)/E127</f>
        <v>1.1491396639802298</v>
      </c>
      <c r="Q127" s="34">
        <v>3</v>
      </c>
      <c r="R127" s="1">
        <f t="shared" ref="R127:R131" si="8">((G127*1.02)+F127)/E127</f>
        <v>1.1678401416373125</v>
      </c>
      <c r="S127" s="1">
        <f t="shared" si="6"/>
        <v>1.1678401416373125</v>
      </c>
      <c r="V127" s="36"/>
    </row>
    <row r="128" spans="1:22" x14ac:dyDescent="0.25">
      <c r="A128" s="34" t="s">
        <v>327</v>
      </c>
      <c r="B128" s="34" t="s">
        <v>328</v>
      </c>
      <c r="C128" s="34">
        <v>45406</v>
      </c>
      <c r="D128" s="34">
        <v>227000</v>
      </c>
      <c r="E128" s="34">
        <v>218450</v>
      </c>
      <c r="F128" s="34">
        <v>68200</v>
      </c>
      <c r="G128" s="34">
        <v>198077</v>
      </c>
      <c r="H128" s="27">
        <f t="shared" si="7"/>
        <v>266277</v>
      </c>
      <c r="I128" s="34">
        <v>2</v>
      </c>
      <c r="J128" s="34">
        <v>6353510</v>
      </c>
      <c r="K128" s="34" t="s">
        <v>55</v>
      </c>
      <c r="L128" s="34">
        <v>0.89</v>
      </c>
      <c r="M128" s="34">
        <v>1004</v>
      </c>
      <c r="N128" s="34">
        <v>1973</v>
      </c>
      <c r="O128" s="34">
        <v>20</v>
      </c>
      <c r="P128" s="35">
        <f>(F128+G128)/E128</f>
        <v>1.2189379720759899</v>
      </c>
      <c r="Q128" s="34">
        <v>3</v>
      </c>
      <c r="R128" s="1">
        <f t="shared" si="8"/>
        <v>1.2370727397573817</v>
      </c>
      <c r="S128" s="1">
        <f t="shared" si="6"/>
        <v>1.2370727397573817</v>
      </c>
      <c r="V128" s="36"/>
    </row>
    <row r="129" spans="1:22" x14ac:dyDescent="0.25">
      <c r="A129" s="34" t="s">
        <v>329</v>
      </c>
      <c r="B129" s="34" t="s">
        <v>330</v>
      </c>
      <c r="C129" s="34">
        <v>45413</v>
      </c>
      <c r="D129" s="34">
        <v>215000</v>
      </c>
      <c r="E129" s="34">
        <v>215000</v>
      </c>
      <c r="F129" s="34">
        <v>35750</v>
      </c>
      <c r="G129" s="34">
        <v>201347</v>
      </c>
      <c r="H129" s="27">
        <f t="shared" si="7"/>
        <v>237097</v>
      </c>
      <c r="I129" s="34">
        <v>1</v>
      </c>
      <c r="J129" s="34">
        <v>5133573</v>
      </c>
      <c r="K129" s="34" t="s">
        <v>137</v>
      </c>
      <c r="L129" s="34">
        <v>2.5</v>
      </c>
      <c r="M129" s="34">
        <v>1079</v>
      </c>
      <c r="N129" s="34">
        <v>2009</v>
      </c>
      <c r="O129" s="34">
        <v>0</v>
      </c>
      <c r="P129" s="35">
        <f>(F129+G129)/E129</f>
        <v>1.1027767441860465</v>
      </c>
      <c r="Q129" s="34">
        <v>3</v>
      </c>
      <c r="R129" s="1">
        <f t="shared" si="8"/>
        <v>1.1215066976744186</v>
      </c>
      <c r="S129" s="1">
        <f t="shared" si="6"/>
        <v>1.1215066976744186</v>
      </c>
      <c r="V129" s="36"/>
    </row>
    <row r="130" spans="1:22" x14ac:dyDescent="0.25">
      <c r="A130" s="34" t="s">
        <v>331</v>
      </c>
      <c r="B130" s="34" t="s">
        <v>332</v>
      </c>
      <c r="C130" s="34">
        <v>45344</v>
      </c>
      <c r="D130" s="34">
        <v>218000</v>
      </c>
      <c r="E130" s="34">
        <v>210036</v>
      </c>
      <c r="F130" s="34">
        <v>31605</v>
      </c>
      <c r="G130" s="34">
        <v>142275</v>
      </c>
      <c r="H130" s="27">
        <f t="shared" si="7"/>
        <v>173880</v>
      </c>
      <c r="I130" s="34">
        <v>1</v>
      </c>
      <c r="J130" s="34">
        <v>5191758</v>
      </c>
      <c r="K130" s="34" t="s">
        <v>51</v>
      </c>
      <c r="L130" s="34">
        <v>1.83</v>
      </c>
      <c r="M130" s="34">
        <v>1400</v>
      </c>
      <c r="N130" s="34">
        <v>1920</v>
      </c>
      <c r="O130" s="34">
        <v>34</v>
      </c>
      <c r="P130" s="35">
        <f>(F130+G130)/E130</f>
        <v>0.82785808147174766</v>
      </c>
      <c r="Q130" s="34">
        <v>3</v>
      </c>
      <c r="R130" s="1">
        <f t="shared" si="8"/>
        <v>0.84140575901274073</v>
      </c>
      <c r="S130" s="1">
        <f t="shared" si="6"/>
        <v>0.84140575901274073</v>
      </c>
      <c r="V130" s="36"/>
    </row>
    <row r="131" spans="1:22" x14ac:dyDescent="0.25">
      <c r="A131" s="34" t="s">
        <v>333</v>
      </c>
      <c r="B131" s="34" t="s">
        <v>334</v>
      </c>
      <c r="C131" s="34">
        <v>45646</v>
      </c>
      <c r="D131" s="34">
        <v>270000</v>
      </c>
      <c r="E131" s="34">
        <v>260600</v>
      </c>
      <c r="F131" s="34">
        <v>57175</v>
      </c>
      <c r="G131" s="34">
        <v>333437</v>
      </c>
      <c r="H131" s="27">
        <f t="shared" si="7"/>
        <v>390612</v>
      </c>
      <c r="I131" s="34">
        <v>2</v>
      </c>
      <c r="J131" s="34">
        <v>5353510</v>
      </c>
      <c r="K131" s="34" t="s">
        <v>55</v>
      </c>
      <c r="L131" s="34">
        <v>0.26</v>
      </c>
      <c r="M131" s="34">
        <v>1694</v>
      </c>
      <c r="N131" s="34">
        <v>1976</v>
      </c>
      <c r="O131" s="34">
        <v>19</v>
      </c>
      <c r="P131" s="35">
        <f>(F131+G131)/E131</f>
        <v>1.4988948580199539</v>
      </c>
      <c r="Q131" s="34">
        <v>3</v>
      </c>
      <c r="R131" s="1">
        <f t="shared" si="8"/>
        <v>1.5244848042977743</v>
      </c>
      <c r="S131" s="1">
        <f t="shared" ref="S131" si="9">((IF(AND(G131&lt;=$V$10,G131&gt;=$U$10),G131*1.02,IF(AND(G131&lt;=$V$11,G131&gt;=$U$11),G131,IF(AND(G131&lt;=$V$12,G131&gt;=$U$12),G131*1.01)))+F131)/E131)</f>
        <v>1.4988948580199539</v>
      </c>
      <c r="V131" s="36"/>
    </row>
    <row r="132" spans="1:22" x14ac:dyDescent="0.25">
      <c r="V132" s="36"/>
    </row>
    <row r="133" spans="1:22" x14ac:dyDescent="0.25">
      <c r="V133" s="36"/>
    </row>
    <row r="134" spans="1:22" x14ac:dyDescent="0.25">
      <c r="V134" s="36"/>
    </row>
    <row r="135" spans="1:22" x14ac:dyDescent="0.25">
      <c r="V135" s="36"/>
    </row>
    <row r="136" spans="1:22" x14ac:dyDescent="0.25">
      <c r="V136" s="36"/>
    </row>
    <row r="137" spans="1:22" x14ac:dyDescent="0.25">
      <c r="V137" s="36"/>
    </row>
    <row r="138" spans="1:22" x14ac:dyDescent="0.25">
      <c r="V138" s="36"/>
    </row>
    <row r="139" spans="1:22" x14ac:dyDescent="0.25">
      <c r="V139" s="36"/>
    </row>
    <row r="140" spans="1:22" x14ac:dyDescent="0.25">
      <c r="V140" s="36"/>
    </row>
    <row r="141" spans="1:22" x14ac:dyDescent="0.25">
      <c r="V141" s="36"/>
    </row>
    <row r="142" spans="1:22" x14ac:dyDescent="0.25">
      <c r="V142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18EE-A0A5-4D48-B358-D9FC7EBEF5F5}">
  <dimension ref="A1"/>
  <sheetViews>
    <sheetView workbookViewId="0">
      <selection activeCell="F13" sqref="F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 TO O FAC</vt:lpstr>
      <vt:lpstr>VALUE RANGE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 Hyde</dc:creator>
  <cp:lastModifiedBy>Jarom Hyde</cp:lastModifiedBy>
  <dcterms:created xsi:type="dcterms:W3CDTF">2025-05-13T15:00:38Z</dcterms:created>
  <dcterms:modified xsi:type="dcterms:W3CDTF">2025-05-13T18:48:42Z</dcterms:modified>
</cp:coreProperties>
</file>