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ocuments\2025_Sales_Ratio_Exports\"/>
    </mc:Choice>
  </mc:AlternateContent>
  <xr:revisionPtr revIDLastSave="0" documentId="13_ncr:1_{E46101B0-0CD8-4B07-A00F-7CF430B928D0}" xr6:coauthVersionLast="36" xr6:coauthVersionMax="36" xr10:uidLastSave="{00000000-0000-0000-0000-000000000000}"/>
  <bookViews>
    <workbookView xWindow="0" yWindow="0" windowWidth="21420" windowHeight="6990" xr2:uid="{7052474C-6145-4972-86CE-A1C156FE8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K20" i="1"/>
  <c r="L20" i="1" s="1"/>
  <c r="K9" i="1"/>
  <c r="H9" i="1" l="1"/>
  <c r="O9" i="1"/>
  <c r="L9" i="1"/>
  <c r="F13" i="1"/>
  <c r="F10" i="1"/>
  <c r="F9" i="1"/>
  <c r="F8" i="1"/>
  <c r="F7" i="1"/>
  <c r="F6" i="1"/>
  <c r="F5" i="1"/>
  <c r="F4" i="1"/>
  <c r="F2" i="1"/>
  <c r="F3" i="1"/>
  <c r="F1" i="1"/>
  <c r="H20" i="1" l="1"/>
  <c r="I20" i="1" s="1"/>
  <c r="B12" i="1"/>
  <c r="N9" i="1"/>
  <c r="I9" i="1"/>
</calcChain>
</file>

<file path=xl/sharedStrings.xml><?xml version="1.0" encoding="utf-8"?>
<sst xmlns="http://schemas.openxmlformats.org/spreadsheetml/2006/main" count="52" uniqueCount="44">
  <si>
    <t>Total</t>
  </si>
  <si>
    <t>Residential &lt;1000 SQ Fe</t>
  </si>
  <si>
    <t>Residential Argyle</t>
  </si>
  <si>
    <t>Residential Yr Blt &lt;1939</t>
  </si>
  <si>
    <t>Residential Duchesne/Myton</t>
  </si>
  <si>
    <t>Residential Fruitland</t>
  </si>
  <si>
    <t>Residential Yr Blt 1940-1969</t>
  </si>
  <si>
    <t>Residential 1601-2000 SQ Feet</t>
  </si>
  <si>
    <t>Residential Roosevelt</t>
  </si>
  <si>
    <t>Residential Tabiona/Hanna</t>
  </si>
  <si>
    <t>Vacant Land &lt;1.00 acre</t>
  </si>
  <si>
    <t>Vacant Land Argyle</t>
  </si>
  <si>
    <t>Vacant Land &gt;20.01</t>
  </si>
  <si>
    <t>Vacant Land Duchesne/Myton</t>
  </si>
  <si>
    <t>Vacant Land 1.01-5.00 acres</t>
  </si>
  <si>
    <t>Vacant Land Fruitland</t>
  </si>
  <si>
    <t>Vacant Land 10.01-20.00 acres</t>
  </si>
  <si>
    <t>Vacant Land 5.01-10.00 acres</t>
  </si>
  <si>
    <t>Vacant Land Roosevelt</t>
  </si>
  <si>
    <t>Vacant Land Tabiona/Hanna</t>
  </si>
  <si>
    <t>A - Duchense County</t>
  </si>
  <si>
    <t>B1 - Reappraisal Residential</t>
  </si>
  <si>
    <t>B2 - Reappraisal Vacant Land</t>
  </si>
  <si>
    <t>C - Total Commercial</t>
  </si>
  <si>
    <t>D - Total Residential</t>
  </si>
  <si>
    <t>E - Total Vacant Land</t>
  </si>
  <si>
    <t>F - Total MFG</t>
  </si>
  <si>
    <t>G - Sheds and Other</t>
  </si>
  <si>
    <t>H - Mixed Use</t>
  </si>
  <si>
    <t>I - Multi Unit</t>
  </si>
  <si>
    <t>J - Condo</t>
  </si>
  <si>
    <t>K - Exempt</t>
  </si>
  <si>
    <t>!!!!!</t>
  </si>
  <si>
    <t xml:space="preserve">Formula Needs Changed Every Year </t>
  </si>
  <si>
    <t>Residential Upper Country/ Neola</t>
  </si>
  <si>
    <t>Residential Yr Blt 1970-1989</t>
  </si>
  <si>
    <t>Residential Yr Blt 1990-2009</t>
  </si>
  <si>
    <t>Residential Yr Blt 2010-2019</t>
  </si>
  <si>
    <t>Residential Yr Blt 2020 and UP</t>
  </si>
  <si>
    <t>Residential 1001-1300 SQ Feet</t>
  </si>
  <si>
    <t>Residential 1301-1600 SQ Feet</t>
  </si>
  <si>
    <t>Residential 2001-3000 SQ Feet</t>
  </si>
  <si>
    <t>Residential &gt;3001 SQ Feet</t>
  </si>
  <si>
    <t>Vacant Land Upper Country/Neola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</si>
</sst>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ill>
        <patternFill>
          <bgColor rgb="FFFF9B9B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8AEF-E7D7-435D-9D58-AC6B767D97F7}">
  <dimension ref="A1:O20"/>
  <sheetViews>
    <sheetView tabSelected="1" workbookViewId="0">
      <selection activeCell="G24" sqref="G24"/>
    </sheetView>
  </sheetViews>
  <sheetFormatPr defaultRowHeight="15" x14ac:dyDescent="0.25"/>
  <cols>
    <col min="4" max="4" width="42.85546875" bestFit="1" customWidth="1"/>
    <col min="7" max="7" width="28" bestFit="1" customWidth="1"/>
    <col min="10" max="10" width="31.5703125" bestFit="1" customWidth="1"/>
    <col min="13" max="13" width="25.7109375" bestFit="1" customWidth="1"/>
  </cols>
  <sheetData>
    <row r="1" spans="1:15" x14ac:dyDescent="0.25">
      <c r="A1" t="s">
        <v>0</v>
      </c>
      <c r="B1">
        <v>387</v>
      </c>
      <c r="D1" t="s">
        <v>20</v>
      </c>
      <c r="E1">
        <v>387</v>
      </c>
      <c r="F1" t="str">
        <f>IF(E1=B1,"GOOD","BAD")</f>
        <v>GOOD</v>
      </c>
      <c r="G1" t="s">
        <v>1</v>
      </c>
      <c r="H1">
        <v>20</v>
      </c>
      <c r="J1" t="s">
        <v>4</v>
      </c>
      <c r="K1">
        <v>28</v>
      </c>
      <c r="M1" t="s">
        <v>3</v>
      </c>
      <c r="N1">
        <v>10</v>
      </c>
    </row>
    <row r="2" spans="1:15" x14ac:dyDescent="0.25">
      <c r="A2">
        <v>1</v>
      </c>
      <c r="B2">
        <v>148</v>
      </c>
      <c r="D2" t="s">
        <v>23</v>
      </c>
      <c r="E2">
        <v>14</v>
      </c>
      <c r="F2" t="str">
        <f>IF(E2=B3,"GOOD","BAD")</f>
        <v>GOOD</v>
      </c>
      <c r="G2" t="s">
        <v>39</v>
      </c>
      <c r="H2">
        <v>42</v>
      </c>
      <c r="J2" t="s">
        <v>8</v>
      </c>
      <c r="K2">
        <v>75</v>
      </c>
      <c r="M2" t="s">
        <v>6</v>
      </c>
      <c r="N2">
        <v>13</v>
      </c>
    </row>
    <row r="3" spans="1:15" x14ac:dyDescent="0.25">
      <c r="A3">
        <v>2</v>
      </c>
      <c r="B3">
        <v>14</v>
      </c>
      <c r="D3" t="s">
        <v>24</v>
      </c>
      <c r="E3">
        <v>148</v>
      </c>
      <c r="F3" t="str">
        <f>IF(E3=B2,"GOOD","BAD")</f>
        <v>GOOD</v>
      </c>
      <c r="G3" t="s">
        <v>40</v>
      </c>
      <c r="H3">
        <v>22</v>
      </c>
      <c r="J3" t="s">
        <v>5</v>
      </c>
      <c r="K3">
        <v>25</v>
      </c>
      <c r="M3" t="s">
        <v>35</v>
      </c>
      <c r="N3">
        <v>41</v>
      </c>
    </row>
    <row r="4" spans="1:15" x14ac:dyDescent="0.25">
      <c r="A4">
        <v>3</v>
      </c>
      <c r="B4">
        <v>172</v>
      </c>
      <c r="D4" t="s">
        <v>25</v>
      </c>
      <c r="E4">
        <v>172</v>
      </c>
      <c r="F4" t="str">
        <f>IF(E4=B4,"GOOD","BAD")</f>
        <v>GOOD</v>
      </c>
      <c r="G4" t="s">
        <v>7</v>
      </c>
      <c r="H4">
        <v>34</v>
      </c>
      <c r="J4" t="s">
        <v>34</v>
      </c>
      <c r="K4">
        <v>18</v>
      </c>
      <c r="M4" t="s">
        <v>36</v>
      </c>
      <c r="N4">
        <v>42</v>
      </c>
    </row>
    <row r="5" spans="1:15" x14ac:dyDescent="0.25">
      <c r="A5">
        <v>4</v>
      </c>
      <c r="B5">
        <v>5</v>
      </c>
      <c r="D5" t="s">
        <v>26</v>
      </c>
      <c r="E5">
        <v>28</v>
      </c>
      <c r="F5" t="str">
        <f>IF(E5=B10,"GOOD","BAD")</f>
        <v>GOOD</v>
      </c>
      <c r="G5" t="s">
        <v>41</v>
      </c>
      <c r="H5">
        <v>21</v>
      </c>
      <c r="J5" t="s">
        <v>9</v>
      </c>
      <c r="K5">
        <v>2</v>
      </c>
      <c r="M5" t="s">
        <v>37</v>
      </c>
      <c r="N5">
        <v>28</v>
      </c>
    </row>
    <row r="6" spans="1:15" x14ac:dyDescent="0.25">
      <c r="A6">
        <v>5</v>
      </c>
      <c r="B6">
        <v>15</v>
      </c>
      <c r="D6" t="s">
        <v>27</v>
      </c>
      <c r="E6">
        <v>15</v>
      </c>
      <c r="F6" t="str">
        <f>IF(E6=B6,"GOOD","BAD")</f>
        <v>GOOD</v>
      </c>
      <c r="G6" t="s">
        <v>42</v>
      </c>
      <c r="H6">
        <v>9</v>
      </c>
      <c r="J6" t="s">
        <v>2</v>
      </c>
      <c r="K6">
        <v>0</v>
      </c>
      <c r="M6" t="s">
        <v>38</v>
      </c>
      <c r="N6">
        <v>14</v>
      </c>
    </row>
    <row r="7" spans="1:15" x14ac:dyDescent="0.25">
      <c r="A7">
        <v>6</v>
      </c>
      <c r="B7">
        <v>1</v>
      </c>
      <c r="D7" t="s">
        <v>28</v>
      </c>
      <c r="E7">
        <v>1</v>
      </c>
      <c r="F7" t="str">
        <f>IF(E7=B7,"GOOD","BAD")</f>
        <v>GOOD</v>
      </c>
    </row>
    <row r="8" spans="1:15" x14ac:dyDescent="0.25">
      <c r="A8">
        <v>7</v>
      </c>
      <c r="B8">
        <v>0</v>
      </c>
      <c r="D8" t="s">
        <v>29</v>
      </c>
      <c r="E8">
        <v>4</v>
      </c>
      <c r="F8" t="str">
        <f>IF(E8=B9,"GOOD","BAD")</f>
        <v>GOOD</v>
      </c>
    </row>
    <row r="9" spans="1:15" x14ac:dyDescent="0.25">
      <c r="A9">
        <v>8</v>
      </c>
      <c r="B9">
        <v>4</v>
      </c>
      <c r="D9" t="s">
        <v>30</v>
      </c>
      <c r="E9">
        <v>5</v>
      </c>
      <c r="F9" t="str">
        <f>IF(E9=B5,"GOOD","BAD")</f>
        <v>GOOD</v>
      </c>
      <c r="G9" t="s">
        <v>0</v>
      </c>
      <c r="H9">
        <f>SUM(H1:H6)</f>
        <v>148</v>
      </c>
      <c r="I9" t="str">
        <f>IF(H9=E3,"GOOD","BAD")</f>
        <v>GOOD</v>
      </c>
      <c r="J9" t="s">
        <v>0</v>
      </c>
      <c r="K9">
        <f>SUM(K1:K6)</f>
        <v>148</v>
      </c>
      <c r="L9" t="str">
        <f>IF(K9=E3,"GOOD","BAD")</f>
        <v>GOOD</v>
      </c>
      <c r="M9" t="s">
        <v>0</v>
      </c>
      <c r="N9">
        <f>SUM(N1:N6)</f>
        <v>148</v>
      </c>
      <c r="O9" t="str">
        <f>IF(N9=E3,"GOOD","BAD")</f>
        <v>GOOD</v>
      </c>
    </row>
    <row r="10" spans="1:15" x14ac:dyDescent="0.25">
      <c r="A10">
        <v>9</v>
      </c>
      <c r="B10">
        <v>28</v>
      </c>
      <c r="D10" t="s">
        <v>31</v>
      </c>
      <c r="E10">
        <v>0</v>
      </c>
      <c r="F10" t="str">
        <f>IF(E10=B8,"GOOD","BAD")</f>
        <v>GOOD</v>
      </c>
    </row>
    <row r="12" spans="1:15" x14ac:dyDescent="0.25">
      <c r="A12" t="s">
        <v>0</v>
      </c>
      <c r="B12">
        <f>SUM(B2:B10)</f>
        <v>387</v>
      </c>
      <c r="G12" t="s">
        <v>10</v>
      </c>
      <c r="H12">
        <v>31</v>
      </c>
      <c r="J12" t="s">
        <v>13</v>
      </c>
      <c r="K12">
        <v>42</v>
      </c>
    </row>
    <row r="13" spans="1:15" x14ac:dyDescent="0.25">
      <c r="C13" s="1" t="s">
        <v>32</v>
      </c>
      <c r="D13" s="1" t="s">
        <v>21</v>
      </c>
      <c r="E13">
        <v>2</v>
      </c>
      <c r="F13" t="str">
        <f>IF(E13=(K5+K6),"GOOD","BAD")</f>
        <v>GOOD</v>
      </c>
      <c r="G13" t="s">
        <v>14</v>
      </c>
      <c r="H13">
        <v>50</v>
      </c>
      <c r="J13" t="s">
        <v>18</v>
      </c>
      <c r="K13">
        <v>18</v>
      </c>
    </row>
    <row r="14" spans="1:15" x14ac:dyDescent="0.25">
      <c r="C14" s="1" t="s">
        <v>32</v>
      </c>
      <c r="D14" s="1" t="s">
        <v>22</v>
      </c>
      <c r="E14">
        <v>14</v>
      </c>
      <c r="F14" t="str">
        <f>IF(E14=(K16+K17),"GOOD","BAD")</f>
        <v>GOOD</v>
      </c>
      <c r="G14" t="s">
        <v>17</v>
      </c>
      <c r="H14">
        <v>53</v>
      </c>
      <c r="J14" t="s">
        <v>15</v>
      </c>
      <c r="K14">
        <v>81</v>
      </c>
    </row>
    <row r="15" spans="1:15" x14ac:dyDescent="0.25">
      <c r="C15" s="1" t="s">
        <v>32</v>
      </c>
      <c r="D15" s="1" t="s">
        <v>33</v>
      </c>
      <c r="G15" t="s">
        <v>16</v>
      </c>
      <c r="H15">
        <v>16</v>
      </c>
      <c r="J15" t="s">
        <v>43</v>
      </c>
      <c r="K15">
        <v>17</v>
      </c>
    </row>
    <row r="16" spans="1:15" x14ac:dyDescent="0.25">
      <c r="G16" t="s">
        <v>12</v>
      </c>
      <c r="H16">
        <v>22</v>
      </c>
      <c r="J16" t="s">
        <v>19</v>
      </c>
      <c r="K16">
        <v>8</v>
      </c>
    </row>
    <row r="17" spans="7:12" x14ac:dyDescent="0.25">
      <c r="J17" t="s">
        <v>11</v>
      </c>
      <c r="K17">
        <v>6</v>
      </c>
    </row>
    <row r="20" spans="7:12" x14ac:dyDescent="0.25">
      <c r="G20" t="s">
        <v>0</v>
      </c>
      <c r="H20">
        <f>SUM(H12:H16)</f>
        <v>172</v>
      </c>
      <c r="I20" t="str">
        <f>IF(H20=E4,"GOOD","BAD")</f>
        <v>GOOD</v>
      </c>
      <c r="J20" t="s">
        <v>0</v>
      </c>
      <c r="K20">
        <f>SUM(K12:K17)</f>
        <v>172</v>
      </c>
      <c r="L20" t="str">
        <f>IF(K20=E4,"GOOD","BAD")</f>
        <v>GOOD</v>
      </c>
    </row>
  </sheetData>
  <conditionalFormatting sqref="I1:I6 I8:I20">
    <cfRule type="cellIs" dxfId="19" priority="17" operator="equal">
      <formula>"BAD"</formula>
    </cfRule>
    <cfRule type="cellIs" dxfId="18" priority="20" operator="equal">
      <formula>"GOOD"</formula>
    </cfRule>
  </conditionalFormatting>
  <conditionalFormatting sqref="L1:L20">
    <cfRule type="cellIs" dxfId="17" priority="16" operator="equal">
      <formula>"BAD"</formula>
    </cfRule>
    <cfRule type="cellIs" dxfId="16" priority="19" operator="equal">
      <formula>"GOOD"</formula>
    </cfRule>
  </conditionalFormatting>
  <conditionalFormatting sqref="O1:O20">
    <cfRule type="cellIs" dxfId="15" priority="15" operator="equal">
      <formula>"BAD"</formula>
    </cfRule>
    <cfRule type="cellIs" dxfId="14" priority="18" operator="equal">
      <formula>"Good"</formula>
    </cfRule>
  </conditionalFormatting>
  <conditionalFormatting sqref="F1 F15:F20 F10:F12">
    <cfRule type="cellIs" dxfId="13" priority="13" operator="equal">
      <formula>"GOOD"</formula>
    </cfRule>
    <cfRule type="cellIs" dxfId="12" priority="14" operator="equal">
      <formula>"BAD"</formula>
    </cfRule>
  </conditionalFormatting>
  <conditionalFormatting sqref="F13">
    <cfRule type="cellIs" dxfId="11" priority="11" operator="equal">
      <formula>"BAD"</formula>
    </cfRule>
    <cfRule type="cellIs" dxfId="10" priority="12" operator="equal">
      <formula>"GOOD"</formula>
    </cfRule>
  </conditionalFormatting>
  <conditionalFormatting sqref="F14">
    <cfRule type="cellIs" dxfId="9" priority="9" operator="equal">
      <formula>"BAD"</formula>
    </cfRule>
    <cfRule type="cellIs" dxfId="8" priority="10" operator="equal">
      <formula>"GOOD"</formula>
    </cfRule>
  </conditionalFormatting>
  <conditionalFormatting sqref="F1">
    <cfRule type="cellIs" dxfId="7" priority="7" operator="equal">
      <formula>"BAD"</formula>
    </cfRule>
    <cfRule type="cellIs" dxfId="6" priority="8" operator="equal">
      <formula>"GOOD"</formula>
    </cfRule>
  </conditionalFormatting>
  <conditionalFormatting sqref="F2 F4 F6 F8">
    <cfRule type="cellIs" dxfId="5" priority="5" operator="equal">
      <formula>"BAD"</formula>
    </cfRule>
    <cfRule type="cellIs" dxfId="4" priority="6" operator="equal">
      <formula>"GOOD"</formula>
    </cfRule>
  </conditionalFormatting>
  <conditionalFormatting sqref="F3 F5 F7 F9">
    <cfRule type="cellIs" dxfId="3" priority="3" operator="equal">
      <formula>"BAD"</formula>
    </cfRule>
    <cfRule type="cellIs" dxfId="2" priority="4" operator="equal">
      <formula>"GOOD"</formula>
    </cfRule>
  </conditionalFormatting>
  <conditionalFormatting sqref="B12">
    <cfRule type="cellIs" dxfId="1" priority="1" operator="notEqual">
      <formula>$B$1</formula>
    </cfRule>
    <cfRule type="cellIs" dxfId="0" priority="2" operator="equal">
      <formula>$B$1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 Hyde</dc:creator>
  <cp:lastModifiedBy>Assessor</cp:lastModifiedBy>
  <dcterms:created xsi:type="dcterms:W3CDTF">2025-03-21T22:47:43Z</dcterms:created>
  <dcterms:modified xsi:type="dcterms:W3CDTF">2025-03-26T16:49:42Z</dcterms:modified>
</cp:coreProperties>
</file>